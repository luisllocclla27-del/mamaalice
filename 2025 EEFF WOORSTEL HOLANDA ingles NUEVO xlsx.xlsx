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ONTABILIDAD 2025\estados financieros 2025\"/>
    </mc:Choice>
  </mc:AlternateContent>
  <xr:revisionPtr revIDLastSave="0" documentId="13_ncr:1_{CF5D938C-32C3-4B5E-8603-5632BDB4C313}" xr6:coauthVersionLast="46" xr6:coauthVersionMax="46" xr10:uidLastSave="{00000000-0000-0000-0000-000000000000}"/>
  <bookViews>
    <workbookView xWindow="-120" yWindow="-120" windowWidth="29040" windowHeight="15840" tabRatio="397" activeTab="5" xr2:uid="{00000000-000D-0000-FFFF-FFFF00000000}"/>
  </bookViews>
  <sheets>
    <sheet name="PPTO 2025" sheetId="7" r:id="rId1"/>
    <sheet name="Estado s. Finan" sheetId="6" r:id="rId2"/>
    <sheet name="E.R.2024" sheetId="1" state="hidden" r:id="rId3"/>
    <sheet name="NUEVO E.R. 2025" sheetId="10" r:id="rId4"/>
    <sheet name="ppto2026" sheetId="8" r:id="rId5"/>
    <sheet name="notas" sheetId="11" r:id="rId6"/>
    <sheet name="comentarios " sheetId="9" state="hidden" r:id="rId7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6" i="10" l="1"/>
  <c r="I34" i="10"/>
  <c r="H34" i="10"/>
  <c r="I30" i="10"/>
  <c r="H24" i="10"/>
  <c r="I24" i="10"/>
  <c r="C26" i="6"/>
  <c r="B23" i="7" l="1"/>
  <c r="B25" i="7" s="1"/>
  <c r="D6" i="6"/>
  <c r="D7" i="6"/>
  <c r="D14" i="6"/>
  <c r="D15" i="6"/>
  <c r="D17" i="6"/>
  <c r="D18" i="6"/>
  <c r="D19" i="6"/>
  <c r="D20" i="6"/>
  <c r="F39" i="6"/>
  <c r="F33" i="6"/>
  <c r="F22" i="6"/>
  <c r="E21" i="6"/>
  <c r="F8" i="6"/>
  <c r="E8" i="6"/>
  <c r="F7" i="6"/>
  <c r="D38" i="6" l="1"/>
  <c r="D8" i="6"/>
  <c r="D21" i="6"/>
  <c r="C21" i="6"/>
  <c r="D26" i="6" s="1"/>
  <c r="D37" i="6"/>
  <c r="D36" i="6"/>
  <c r="D31" i="6"/>
  <c r="D30" i="6"/>
  <c r="D29" i="6"/>
  <c r="D28" i="6"/>
  <c r="D27" i="6"/>
  <c r="F21" i="6"/>
  <c r="D33" i="6" l="1"/>
  <c r="D39" i="6" s="1"/>
  <c r="D22" i="6"/>
  <c r="G47" i="10" l="1"/>
  <c r="G65" i="10" s="1"/>
  <c r="H65" i="10" s="1"/>
  <c r="G71" i="10"/>
  <c r="H71" i="10" s="1"/>
  <c r="G72" i="10" l="1"/>
  <c r="H49" i="10" l="1"/>
  <c r="H57" i="10"/>
  <c r="H58" i="10"/>
  <c r="H59" i="10" l="1"/>
  <c r="H44" i="10"/>
  <c r="H67" i="10"/>
  <c r="H43" i="10"/>
  <c r="D19" i="8"/>
  <c r="D22" i="8" s="1"/>
  <c r="C22" i="8"/>
  <c r="D15" i="8"/>
  <c r="C15" i="8"/>
  <c r="D13" i="8"/>
  <c r="D5" i="8"/>
  <c r="D6" i="8"/>
  <c r="D7" i="8"/>
  <c r="D8" i="8"/>
  <c r="D9" i="8"/>
  <c r="D4" i="8"/>
  <c r="C10" i="8"/>
  <c r="H69" i="10"/>
  <c r="H68" i="10"/>
  <c r="C24" i="8" l="1"/>
  <c r="D10" i="8"/>
  <c r="D24" i="8" s="1"/>
  <c r="H70" i="10" l="1"/>
  <c r="H10" i="10"/>
  <c r="H20" i="10" s="1"/>
  <c r="H28" i="10"/>
  <c r="H30" i="10" s="1"/>
  <c r="G74" i="10" s="1"/>
  <c r="C38" i="6" l="1"/>
  <c r="C8" i="6"/>
  <c r="C33" i="6"/>
  <c r="C22" i="6" l="1"/>
  <c r="C39" i="6"/>
  <c r="H53" i="10"/>
  <c r="H52" i="10"/>
  <c r="H54" i="10"/>
  <c r="H47" i="10"/>
  <c r="H48" i="10"/>
  <c r="H50" i="10"/>
  <c r="H45" i="10"/>
  <c r="H51" i="10"/>
  <c r="H55" i="10"/>
  <c r="H61" i="10"/>
  <c r="H63" i="10"/>
  <c r="H64" i="10"/>
  <c r="H42" i="10"/>
  <c r="I29" i="10"/>
  <c r="D13" i="6" l="1"/>
  <c r="D12" i="6"/>
  <c r="I20" i="10" l="1"/>
  <c r="I36" i="10" s="1"/>
  <c r="H62" i="10"/>
  <c r="H56" i="10"/>
  <c r="H60" i="10"/>
  <c r="H46" i="10"/>
  <c r="D60" i="1"/>
  <c r="D59" i="1"/>
  <c r="D58" i="1"/>
  <c r="D57" i="1"/>
  <c r="D5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34" i="1"/>
  <c r="C60" i="1"/>
  <c r="C39" i="1" l="1"/>
  <c r="C44" i="1"/>
  <c r="C47" i="1"/>
  <c r="C38" i="1"/>
  <c r="C45" i="1"/>
  <c r="C46" i="1"/>
  <c r="C51" i="1"/>
  <c r="C35" i="1"/>
  <c r="C43" i="1"/>
  <c r="H74" i="10" l="1"/>
  <c r="C18" i="1"/>
  <c r="C14" i="1"/>
  <c r="C6" i="1"/>
  <c r="C28" i="1"/>
  <c r="D22" i="1"/>
  <c r="C22" i="1"/>
  <c r="D18" i="1"/>
  <c r="D28" i="1"/>
  <c r="E38" i="6"/>
  <c r="H72" i="10" l="1"/>
  <c r="C29" i="1"/>
  <c r="E26" i="6"/>
  <c r="E33" i="6" s="1"/>
  <c r="E39" i="6" s="1"/>
  <c r="E22" i="6" l="1"/>
  <c r="C54" i="1"/>
  <c r="C58" i="1"/>
  <c r="C59" i="1" l="1"/>
  <c r="D6" i="1" l="1"/>
  <c r="D29" i="1" s="1"/>
</calcChain>
</file>

<file path=xl/sharedStrings.xml><?xml version="1.0" encoding="utf-8"?>
<sst xmlns="http://schemas.openxmlformats.org/spreadsheetml/2006/main" count="285" uniqueCount="202">
  <si>
    <t>Income</t>
  </si>
  <si>
    <t>Categories</t>
  </si>
  <si>
    <t>Total in Soles</t>
  </si>
  <si>
    <t>Total in Euros</t>
  </si>
  <si>
    <t>Main programs Mama Alice</t>
  </si>
  <si>
    <t>Highschool education</t>
  </si>
  <si>
    <t>Subtotal</t>
  </si>
  <si>
    <t>Work with families</t>
  </si>
  <si>
    <t>HTC</t>
  </si>
  <si>
    <t>Expenses</t>
  </si>
  <si>
    <t>Total Current Assets</t>
  </si>
  <si>
    <t>Total assets</t>
  </si>
  <si>
    <t>Equity</t>
  </si>
  <si>
    <t>Pay to third parties</t>
  </si>
  <si>
    <t>Total Current Liabilities</t>
  </si>
  <si>
    <t>Total  longterm assets</t>
  </si>
  <si>
    <t>Equity and liabilities</t>
  </si>
  <si>
    <t>Primary  education</t>
  </si>
  <si>
    <t>Total Income</t>
  </si>
  <si>
    <t>Costs in Lima</t>
  </si>
  <si>
    <t>Accounting auditor Fees</t>
  </si>
  <si>
    <t>Materials and kitchen supplies</t>
  </si>
  <si>
    <t>Car expenses</t>
  </si>
  <si>
    <t>Implementation and maintenance</t>
  </si>
  <si>
    <t>Basic services (water , electricity , telephone, internet)</t>
  </si>
  <si>
    <t>Medicines</t>
  </si>
  <si>
    <t>Cleaning articles</t>
  </si>
  <si>
    <t>Expenses for documentary procedures and insurance External</t>
  </si>
  <si>
    <t>School supplies, books, copies,
creativity materials and playful games</t>
  </si>
  <si>
    <t>Machines</t>
  </si>
  <si>
    <t>Vehicle 4x4</t>
  </si>
  <si>
    <t xml:space="preserve">Terrain </t>
  </si>
  <si>
    <t>HTC building</t>
  </si>
  <si>
    <t>Furniture</t>
  </si>
  <si>
    <t xml:space="preserve">Programs </t>
  </si>
  <si>
    <t>HTC road maintenance</t>
  </si>
  <si>
    <t>Total  Equity</t>
  </si>
  <si>
    <t>Current Liabilities</t>
  </si>
  <si>
    <t>Current Assets</t>
  </si>
  <si>
    <t>Assets</t>
  </si>
  <si>
    <t>Mama Alice (M.A.)</t>
  </si>
  <si>
    <t>IT Equipments</t>
  </si>
  <si>
    <t>Hospitality Training Centre (HTC)</t>
  </si>
  <si>
    <t>Description</t>
  </si>
  <si>
    <t>Education</t>
  </si>
  <si>
    <t>Well-being</t>
  </si>
  <si>
    <t>Vocational training</t>
  </si>
  <si>
    <t>HTC house construction</t>
  </si>
  <si>
    <t>Pay remuneration</t>
  </si>
  <si>
    <t>Total Equity and Liabilities</t>
  </si>
  <si>
    <t>Salaries (Education Well-being)</t>
  </si>
  <si>
    <t>Pre-primary education, individual education</t>
  </si>
  <si>
    <t>Individual psycho-social work with children</t>
  </si>
  <si>
    <t>Prevention and direct treatment</t>
  </si>
  <si>
    <t>World of Children Foundation</t>
  </si>
  <si>
    <t>Foundation Wilde Ganzen</t>
  </si>
  <si>
    <t>Other</t>
  </si>
  <si>
    <t>Transportation (staff and paperwork)</t>
  </si>
  <si>
    <t>Staff fees</t>
  </si>
  <si>
    <t xml:space="preserve">Premises rental  </t>
  </si>
  <si>
    <t>Municipal service (excise taxes and property tax)</t>
  </si>
  <si>
    <t>Bank expenses</t>
  </si>
  <si>
    <t>HTC Fixed Assets Depreciation</t>
  </si>
  <si>
    <t>Total Income &amp; Expenses 2023</t>
  </si>
  <si>
    <t>Prepaid expense</t>
  </si>
  <si>
    <t xml:space="preserve">Long term assets </t>
  </si>
  <si>
    <t>Subtotal Stichting Mamita Alice</t>
  </si>
  <si>
    <t>Stichting  Kinderen van de Zon</t>
  </si>
  <si>
    <t>Subtotal Kinderen van de Zon</t>
  </si>
  <si>
    <t>Subtotal Wold of Children Foundation</t>
  </si>
  <si>
    <t>Subtotal Foundation Wilde Ganzen</t>
  </si>
  <si>
    <t>Subtotal others</t>
  </si>
  <si>
    <t>Stinchting  Mamita Alice</t>
  </si>
  <si>
    <t>In Euros</t>
  </si>
  <si>
    <t>In Soles</t>
  </si>
  <si>
    <t xml:space="preserve">Total </t>
  </si>
  <si>
    <t>Depreciation of fixed assets M.A.</t>
  </si>
  <si>
    <t>€/</t>
  </si>
  <si>
    <t>S/</t>
  </si>
  <si>
    <t>Futbol, Roca y Agua</t>
  </si>
  <si>
    <t>Formacion para todos</t>
  </si>
  <si>
    <t>Roca y agua</t>
  </si>
  <si>
    <t>formacion cocina</t>
  </si>
  <si>
    <t>Transportation (vocational traning students)</t>
  </si>
  <si>
    <t>Alquiler de maquinaria</t>
  </si>
  <si>
    <t>Implementation  MODULOS and maintenance LOCALES</t>
  </si>
  <si>
    <t>Programs</t>
  </si>
  <si>
    <t>Total, in soles</t>
  </si>
  <si>
    <t>Total, in Euros</t>
  </si>
  <si>
    <t>Kindergaten students</t>
  </si>
  <si>
    <t>Primary education students</t>
  </si>
  <si>
    <t>Individual education students</t>
  </si>
  <si>
    <t>Individual work with children</t>
  </si>
  <si>
    <t>Work with fmailies</t>
  </si>
  <si>
    <t>Sub total begroting</t>
  </si>
  <si>
    <t>Vocational Trainings</t>
  </si>
  <si>
    <t>Sub total vocational trainings</t>
  </si>
  <si>
    <t>Extra project costs</t>
  </si>
  <si>
    <t>Administration costs</t>
  </si>
  <si>
    <t>HTC Maintenance</t>
  </si>
  <si>
    <t xml:space="preserve">Sub total  extra </t>
  </si>
  <si>
    <t>Vocational Trainings waiter/bartender/cook 2025</t>
  </si>
  <si>
    <t xml:space="preserve">HTC Autovaluo </t>
  </si>
  <si>
    <t>tipo de cambio</t>
  </si>
  <si>
    <t>Servicio profesional de trabajos de gran envergadura (inspector, implementacion de gras y construccion de módulos)</t>
  </si>
  <si>
    <t>enero</t>
  </si>
  <si>
    <t xml:space="preserve"> Ingreso de voluntaria Maya (chinita) para talleres de roca y agua</t>
  </si>
  <si>
    <t>mayo</t>
  </si>
  <si>
    <t xml:space="preserve">setiembre </t>
  </si>
  <si>
    <t xml:space="preserve">Ingreso de orgaandina por uso de nombre de la ong </t>
  </si>
  <si>
    <t>Noviembre</t>
  </si>
  <si>
    <t>diciembre</t>
  </si>
  <si>
    <t>Ingreso para  el oficio de cocina  amigo de Fredi</t>
  </si>
  <si>
    <t>Ingreso de amiga de Fredi para la beca  para los alumnos destacados de cocina</t>
  </si>
  <si>
    <t>Se recaudo por facebook para la navidad de los niños y niñas</t>
  </si>
  <si>
    <t>Ingreso de Primo de Elba, para beca alumnos destacados de cocina (Abraham)</t>
  </si>
  <si>
    <t>INGRESOS</t>
  </si>
  <si>
    <t>GASTOS</t>
  </si>
  <si>
    <t>LAS SABANAS, CORTINAS,CUBRECAMAS ,FOCOS, LAMPARAS, ETC, ETC</t>
  </si>
  <si>
    <t>IMPLEMENTACION MODULOS</t>
  </si>
  <si>
    <t>F. Financiera</t>
  </si>
  <si>
    <t xml:space="preserve">IMPLEMENTACION DE GRAS NATURAL PARA FUTBOL  Y  TALLERES DE ROCA Y AGUA </t>
  </si>
  <si>
    <t>Stichting Mamita Alice</t>
  </si>
  <si>
    <t xml:space="preserve">World of Children Foundation </t>
  </si>
  <si>
    <t>Stichting Kinderen van de zon</t>
  </si>
  <si>
    <t xml:space="preserve"> </t>
  </si>
  <si>
    <t xml:space="preserve">Subtotal </t>
  </si>
  <si>
    <t>The Budget for NGO Mama Alice 2025 was</t>
  </si>
  <si>
    <t>GRUPO OBJETIVO DEL PROYECTO   MAMA ALICE (educacion, social y oficios)</t>
  </si>
  <si>
    <t>Oficio de cocina para jovenes.</t>
  </si>
  <si>
    <t>Hans Boot</t>
  </si>
  <si>
    <t xml:space="preserve">Implementacion para oficios </t>
  </si>
  <si>
    <t>Peter y Huub</t>
  </si>
  <si>
    <t>Budget 2026</t>
  </si>
  <si>
    <t>Rotaryclub</t>
  </si>
  <si>
    <t>Mark</t>
  </si>
  <si>
    <t>Mantenimiento de carretera HTC</t>
  </si>
  <si>
    <t>Staff fees: teachers, assistants, nurses, cooking instructors, driver, caretaker, cleaning staff, etc.</t>
  </si>
  <si>
    <t xml:space="preserve">Services provided by other professionals or tradespeople </t>
  </si>
  <si>
    <t>Food and supplies for cooking classes</t>
  </si>
  <si>
    <t>Categorias</t>
  </si>
  <si>
    <t>Altipacha</t>
  </si>
  <si>
    <t>HTC Maintenance  y autovaluo</t>
  </si>
  <si>
    <t>TOTAL BUDGET 2026</t>
  </si>
  <si>
    <t xml:space="preserve">Training </t>
  </si>
  <si>
    <t>Machine rental</t>
  </si>
  <si>
    <t>Construccion de muro HTC</t>
  </si>
  <si>
    <t>Water Pipe Maintenance  HTC</t>
  </si>
  <si>
    <t>Road maintenance HTC</t>
  </si>
  <si>
    <t>Implementacion  habitacion para particpantes de cocina</t>
  </si>
  <si>
    <t>Grass Natural</t>
  </si>
  <si>
    <t>Modulos (10) un almacen y Lavanderia</t>
  </si>
  <si>
    <t xml:space="preserve">Salaries </t>
  </si>
  <si>
    <t xml:space="preserve">Personas naturales varios </t>
  </si>
  <si>
    <t>Transportation</t>
  </si>
  <si>
    <t>TOTAL BUDGET 2025</t>
  </si>
  <si>
    <t>incluyendo los beneficios sociales.</t>
  </si>
  <si>
    <t>capacitacion</t>
  </si>
  <si>
    <t>Gastos destinado en el fortalecimiento en capacidades del personal  en taller  de Rocay Agua</t>
  </si>
  <si>
    <t xml:space="preserve">Remuneración del personal contratado permanente, de acuerdo a la legislación laboral vigente </t>
  </si>
  <si>
    <t xml:space="preserve">Transporte </t>
  </si>
  <si>
    <t xml:space="preserve">salarios </t>
  </si>
  <si>
    <t>son gastos relacionados con el traslado del personal  y los beneficiarios , materiales y equipos</t>
  </si>
  <si>
    <t>necesarios para la ejecucion de las actividades.</t>
  </si>
  <si>
    <t>Gastos en Lima</t>
  </si>
  <si>
    <t xml:space="preserve">son gastos incurridos en la ciudad de Lima por concepto de compra y trámites administrativos </t>
  </si>
  <si>
    <t>vinculadas al proyecto</t>
  </si>
  <si>
    <t>Honorarios del personal</t>
  </si>
  <si>
    <t xml:space="preserve">Pago por servicios profesionales: docentes, enfermeras, instructor de cocina </t>
  </si>
  <si>
    <t>personal de limpieza y otros colaboradores que contribuyen al funcionamiento del programa.</t>
  </si>
  <si>
    <t>Servicios de terceros</t>
  </si>
  <si>
    <t xml:space="preserve">Honorarios  y pagos por servicios especializados por profesionales independientes, texnico externo </t>
  </si>
  <si>
    <t>como mantenimiento repaciones , consultorias u otros servicios especificos</t>
  </si>
  <si>
    <t>auditor contables</t>
  </si>
  <si>
    <t>Gastos correspondiente a la contratacion de servicos de auditoria externa para la revision y verificacion de los</t>
  </si>
  <si>
    <t>Gastos legales</t>
  </si>
  <si>
    <t>honorarios derivados a la asesoría legal , elaboración de los contrato, tramites legales y representacion juridica de la</t>
  </si>
  <si>
    <t xml:space="preserve">organización </t>
  </si>
  <si>
    <t xml:space="preserve">Bankacc. NGO Mama Alice </t>
  </si>
  <si>
    <t>efectivo  y equivalente de efectivo</t>
  </si>
  <si>
    <t>Total Income &amp; Expenses 2025</t>
  </si>
  <si>
    <t>Culminación construcción de modulos</t>
  </si>
  <si>
    <t>Reembolso  de los  gasto en la 
Implementacion de  gras natural y taller de Roc ay Agua</t>
  </si>
  <si>
    <t>PROYECTO:  " FORMACION PARA TODOS " (CULMINACION E IMPLEMENTACION )</t>
  </si>
  <si>
    <t>MANTENIMIENTO DE LA CARRETERA EN HTC</t>
  </si>
  <si>
    <t>estados financieros y el cumplimientos de las normas contables</t>
  </si>
  <si>
    <t>Alquier del local</t>
  </si>
  <si>
    <t>Pagos para el local en Yanama para el funcionamiento de Yanama</t>
  </si>
  <si>
    <t xml:space="preserve">alquiler de maquinaria </t>
  </si>
  <si>
    <t>se alquilo maquinaria para mejorar carretara  asia  HTC</t>
  </si>
  <si>
    <t>Servicios  Basios</t>
  </si>
  <si>
    <t xml:space="preserve">Implementación de  módulos  para oficios </t>
  </si>
  <si>
    <t>Implementación de bienes para oficios de ccocina</t>
  </si>
  <si>
    <t>Oficio de cocina para jóvenes 
 (pagos de estudio en otro institucion)</t>
  </si>
  <si>
    <t>Audivisual  e informacion tecnologica a niños de Yanama</t>
  </si>
  <si>
    <t>clase de computacion e informatica para los niños partiicpantes en Yanama</t>
  </si>
  <si>
    <t xml:space="preserve">implentacion de sala audivisual para proyectar vidos y  los niños y adolescentes </t>
  </si>
  <si>
    <t>se ha requerido implementar los modulos para iniciar conel funcionamiento</t>
  </si>
  <si>
    <t>con los jovenes participantes en la cocina.</t>
  </si>
  <si>
    <t>Scholarship payment to former students at another institution</t>
  </si>
  <si>
    <t>Recupero de igv</t>
  </si>
  <si>
    <t>Implementacion  de habitación para participantes de cocina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</si>
</sst>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 &quot;S/&quot;* #,##0.00_ ;_ &quot;S/&quot;* \-#,##0.00_ ;_ &quot;S/&quot;* &quot;-&quot;??_ ;_ @_ "/>
    <numFmt numFmtId="43" formatCode="_ * #,##0.00_ ;_ * \-#,##0.00_ ;_ * &quot;-&quot;??_ ;_ @_ "/>
    <numFmt numFmtId="164" formatCode="_-&quot;S/&quot;\ * #,##0.00_-;\-&quot;S/&quot;\ * #,##0.00_-;_-&quot;S/&quot;\ * &quot;-&quot;??_-;_-@_-"/>
    <numFmt numFmtId="165" formatCode="_-[$S/-280A]\ * #,##0.00_-;\-[$S/-280A]\ * #,##0.00_-;_-[$S/-280A]\ * &quot;-&quot;??_-;_-@_-"/>
    <numFmt numFmtId="166" formatCode="_ [$€-413]\ * #,##0.00_ ;_ [$€-413]\ * \-#,##0.00_ ;_ [$€-413]\ * &quot;-&quot;??_ ;_ @_ "/>
    <numFmt numFmtId="167" formatCode="#,##0.00;[Red]\(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1"/>
      <name val="Calibri"/>
      <family val="2"/>
      <scheme val="minor"/>
    </font>
    <font>
      <i/>
      <sz val="11"/>
      <name val="Calibri"/>
      <family val="2"/>
      <scheme val="minor"/>
    </font>
    <font>
      <i/>
      <sz val="12"/>
      <name val="Calibri"/>
      <family val="2"/>
      <scheme val="minor"/>
    </font>
    <font>
      <b/>
      <i/>
      <sz val="12"/>
      <name val="Calibri"/>
      <family val="2"/>
      <scheme val="minor"/>
    </font>
    <font>
      <i/>
      <sz val="18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6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4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65025F"/>
      <name val="Arial"/>
      <family val="2"/>
    </font>
    <font>
      <sz val="9"/>
      <color rgb="FF000000"/>
      <name val="Arial"/>
      <family val="2"/>
    </font>
    <font>
      <b/>
      <i/>
      <sz val="16"/>
      <name val="Calibri"/>
      <family val="2"/>
      <scheme val="minor"/>
    </font>
    <font>
      <b/>
      <sz val="9"/>
      <color rgb="FF000000"/>
      <name val="Arial"/>
      <family val="2"/>
    </font>
    <font>
      <i/>
      <sz val="12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2"/>
      <color rgb="FF0000FF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996633"/>
        <bgColor indexed="64"/>
      </patternFill>
    </fill>
    <fill>
      <patternFill patternType="solid">
        <fgColor theme="7" tint="0.59999389629810485"/>
        <bgColor indexed="64"/>
      </patternFill>
    </fill>
  </fills>
  <borders count="104">
    <border>
      <left/>
      <right/>
      <top/>
      <bottom/>
      <diagonal/>
    </border>
    <border>
      <left style="medium">
        <color theme="7" tint="-0.24994659260841701"/>
      </left>
      <right style="medium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/>
      <right/>
      <top style="medium">
        <color theme="7" tint="-0.24994659260841701"/>
      </top>
      <bottom style="medium">
        <color theme="7" tint="-0.24994659260841701"/>
      </bottom>
      <diagonal/>
    </border>
    <border>
      <left/>
      <right/>
      <top style="medium">
        <color theme="7" tint="-0.24994659260841701"/>
      </top>
      <bottom/>
      <diagonal/>
    </border>
    <border>
      <left style="thin">
        <color theme="7" tint="-0.24994659260841701"/>
      </left>
      <right/>
      <top style="thin">
        <color theme="7" tint="-0.24994659260841701"/>
      </top>
      <bottom/>
      <diagonal/>
    </border>
    <border>
      <left/>
      <right/>
      <top style="thin">
        <color theme="7" tint="-0.24994659260841701"/>
      </top>
      <bottom/>
      <diagonal/>
    </border>
    <border>
      <left style="thin">
        <color theme="7" tint="-0.24994659260841701"/>
      </left>
      <right style="medium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 style="thin">
        <color theme="7" tint="-0.24994659260841701"/>
      </left>
      <right/>
      <top/>
      <bottom/>
      <diagonal/>
    </border>
    <border>
      <left/>
      <right style="thin">
        <color theme="7" tint="-0.24994659260841701"/>
      </right>
      <top/>
      <bottom/>
      <diagonal/>
    </border>
    <border>
      <left style="thin">
        <color theme="7" tint="-0.24994659260841701"/>
      </left>
      <right/>
      <top/>
      <bottom style="thin">
        <color theme="7" tint="-0.24994659260841701"/>
      </bottom>
      <diagonal/>
    </border>
    <border>
      <left/>
      <right/>
      <top/>
      <bottom style="thin">
        <color theme="7" tint="-0.24994659260841701"/>
      </bottom>
      <diagonal/>
    </border>
    <border>
      <left/>
      <right style="thin">
        <color theme="7" tint="-0.24994659260841701"/>
      </right>
      <top/>
      <bottom style="thin">
        <color theme="7" tint="-0.24994659260841701"/>
      </bottom>
      <diagonal/>
    </border>
    <border>
      <left style="thin">
        <color theme="7" tint="-0.24994659260841701"/>
      </left>
      <right/>
      <top/>
      <bottom style="medium">
        <color theme="7" tint="-0.24994659260841701"/>
      </bottom>
      <diagonal/>
    </border>
    <border>
      <left style="thin">
        <color theme="7" tint="-0.24994659260841701"/>
      </left>
      <right/>
      <top style="medium">
        <color theme="7" tint="-0.24994659260841701"/>
      </top>
      <bottom style="thin">
        <color theme="7" tint="-0.24994659260841701"/>
      </bottom>
      <diagonal/>
    </border>
    <border>
      <left/>
      <right/>
      <top style="medium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/>
      <top style="medium">
        <color theme="7" tint="-0.24994659260841701"/>
      </top>
      <bottom style="medium">
        <color theme="7" tint="-0.24994659260841701"/>
      </bottom>
      <diagonal/>
    </border>
    <border>
      <left style="medium">
        <color theme="7" tint="-0.24994659260841701"/>
      </left>
      <right style="medium">
        <color theme="7" tint="-0.24994659260841701"/>
      </right>
      <top style="medium">
        <color theme="7" tint="-0.24994659260841701"/>
      </top>
      <bottom style="thin">
        <color theme="7" tint="-0.24994659260841701"/>
      </bottom>
      <diagonal/>
    </border>
    <border>
      <left style="medium">
        <color theme="7" tint="-0.24994659260841701"/>
      </left>
      <right style="thin">
        <color theme="7" tint="-0.24994659260841701"/>
      </right>
      <top style="medium">
        <color theme="7" tint="-0.24994659260841701"/>
      </top>
      <bottom style="thin">
        <color theme="7" tint="-0.24994659260841701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thin">
        <color theme="7" tint="-0.24994659260841701"/>
      </left>
      <right style="medium">
        <color theme="7" tint="0.39991454817346722"/>
      </right>
      <top style="thin">
        <color theme="7" tint="-0.24994659260841701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-0.24994659260841701"/>
      </top>
      <bottom style="medium">
        <color theme="7" tint="0.39991454817346722"/>
      </bottom>
      <diagonal/>
    </border>
    <border>
      <left style="medium">
        <color theme="7" tint="0.39991454817346722"/>
      </left>
      <right style="thin">
        <color theme="7" tint="-0.24994659260841701"/>
      </right>
      <top style="thin">
        <color theme="7" tint="-0.24994659260841701"/>
      </top>
      <bottom style="medium">
        <color theme="7" tint="0.39991454817346722"/>
      </bottom>
      <diagonal/>
    </border>
    <border>
      <left style="thin">
        <color theme="7" tint="-0.24994659260841701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91454817346722"/>
      </left>
      <right style="thin">
        <color theme="7" tint="-0.24994659260841701"/>
      </right>
      <top style="medium">
        <color theme="7" tint="0.39991454817346722"/>
      </top>
      <bottom style="medium">
        <color theme="7" tint="0.39994506668294322"/>
      </bottom>
      <diagonal/>
    </border>
    <border>
      <left style="thin">
        <color theme="7" tint="-0.24994659260841701"/>
      </left>
      <right style="medium">
        <color theme="7" tint="-0.24994659260841701"/>
      </right>
      <top style="medium">
        <color theme="7" tint="-0.24994659260841701"/>
      </top>
      <bottom style="thin">
        <color theme="7" tint="-0.24994659260841701"/>
      </bottom>
      <diagonal/>
    </border>
    <border>
      <left/>
      <right style="thin">
        <color theme="7" tint="-0.24994659260841701"/>
      </right>
      <top style="thin">
        <color theme="7" tint="-0.24994659260841701"/>
      </top>
      <bottom style="medium">
        <color theme="7" tint="-0.24994659260841701"/>
      </bottom>
      <diagonal/>
    </border>
    <border>
      <left style="thin">
        <color theme="7" tint="-0.24994659260841701"/>
      </left>
      <right style="medium">
        <color theme="7" tint="-0.24994659260841701"/>
      </right>
      <top style="thin">
        <color theme="7" tint="-0.24994659260841701"/>
      </top>
      <bottom style="medium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medium">
        <color theme="7" tint="-0.24994659260841701"/>
      </left>
      <right/>
      <top style="thin">
        <color theme="7" tint="-0.24994659260841701"/>
      </top>
      <bottom style="medium">
        <color theme="7" tint="-0.24994659260841701"/>
      </bottom>
      <diagonal/>
    </border>
    <border>
      <left style="medium">
        <color theme="7" tint="-0.24994659260841701"/>
      </left>
      <right style="medium">
        <color theme="7" tint="-0.24994659260841701"/>
      </right>
      <top/>
      <bottom style="thin">
        <color theme="7" tint="-0.24994659260841701"/>
      </bottom>
      <diagonal/>
    </border>
    <border>
      <left style="thin">
        <color theme="7" tint="-0.24994659260841701"/>
      </left>
      <right/>
      <top style="medium">
        <color theme="7" tint="0.39994506668294322"/>
      </top>
      <bottom/>
      <diagonal/>
    </border>
    <border>
      <left/>
      <right/>
      <top style="medium">
        <color theme="7" tint="0.39994506668294322"/>
      </top>
      <bottom/>
      <diagonal/>
    </border>
    <border>
      <left/>
      <right style="thin">
        <color theme="7" tint="-0.24994659260841701"/>
      </right>
      <top style="medium">
        <color theme="7" tint="0.39994506668294322"/>
      </top>
      <bottom/>
      <diagonal/>
    </border>
    <border>
      <left style="thin">
        <color theme="7" tint="-0.24994659260841701"/>
      </left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 style="medium">
        <color theme="7" tint="-0.24994659260841701"/>
      </right>
      <top/>
      <bottom/>
      <diagonal/>
    </border>
    <border>
      <left style="medium">
        <color theme="7" tint="-0.24994659260841701"/>
      </left>
      <right style="thin">
        <color theme="7" tint="-0.24994659260841701"/>
      </right>
      <top/>
      <bottom/>
      <diagonal/>
    </border>
    <border>
      <left style="thin">
        <color theme="7" tint="-0.24994659260841701"/>
      </left>
      <right/>
      <top style="thin">
        <color theme="7" tint="-0.24994659260841701"/>
      </top>
      <bottom style="thin">
        <color theme="7" tint="-0.24994659260841701"/>
      </bottom>
      <diagonal/>
    </border>
    <border>
      <left style="medium">
        <color theme="7" tint="-0.24994659260841701"/>
      </left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 style="medium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/>
      <right style="thin">
        <color theme="7" tint="-0.24994659260841701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theme="7" tint="-0.24994659260841701"/>
      </right>
      <top/>
      <bottom style="thin">
        <color theme="7" tint="-0.24994659260841701"/>
      </bottom>
      <diagonal/>
    </border>
    <border>
      <left/>
      <right style="thin">
        <color rgb="FFCC9900"/>
      </right>
      <top style="thin">
        <color theme="7" tint="-0.24994659260841701"/>
      </top>
      <bottom style="thin">
        <color rgb="FFCC9900"/>
      </bottom>
      <diagonal/>
    </border>
    <border>
      <left style="thin">
        <color rgb="FFCC9900"/>
      </left>
      <right style="thin">
        <color rgb="FFCC9900"/>
      </right>
      <top style="thin">
        <color theme="7" tint="-0.24994659260841701"/>
      </top>
      <bottom style="thin">
        <color rgb="FFCC9900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thin">
        <color theme="7" tint="0.39988402966399123"/>
      </right>
      <top style="medium">
        <color theme="7" tint="0.39988402966399123"/>
      </top>
      <bottom style="medium">
        <color theme="7" tint="0.3999145481734672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theme="7" tint="0.39991454817346722"/>
      </right>
      <top style="thin">
        <color theme="7" tint="-0.24994659260841701"/>
      </top>
      <bottom style="medium">
        <color theme="7" tint="0.39991454817346722"/>
      </bottom>
      <diagonal/>
    </border>
    <border>
      <left/>
      <right style="thin">
        <color theme="7" tint="-0.24994659260841701"/>
      </right>
      <top style="thin">
        <color theme="7" tint="-0.24994659260841701"/>
      </top>
      <bottom/>
      <diagonal/>
    </border>
    <border>
      <left style="medium">
        <color theme="7" tint="-0.24994659260841701"/>
      </left>
      <right style="medium">
        <color theme="7" tint="-0.24994659260841701"/>
      </right>
      <top style="thin">
        <color theme="7" tint="-0.24994659260841701"/>
      </top>
      <bottom style="medium">
        <color theme="7" tint="-0.24994659260841701"/>
      </bottom>
      <diagonal/>
    </border>
    <border>
      <left/>
      <right style="thin">
        <color theme="7" tint="-0.24994659260841701"/>
      </right>
      <top/>
      <bottom style="medium">
        <color theme="7" tint="-0.24994659260841701"/>
      </bottom>
      <diagonal/>
    </border>
    <border>
      <left style="thin">
        <color theme="7" tint="-0.24994659260841701"/>
      </left>
      <right style="medium">
        <color theme="7" tint="-0.24994659260841701"/>
      </right>
      <top/>
      <bottom style="medium">
        <color theme="7" tint="-0.24994659260841701"/>
      </bottom>
      <diagonal/>
    </border>
    <border>
      <left style="medium">
        <color theme="7" tint="-0.24994659260841701"/>
      </left>
      <right style="medium">
        <color theme="7" tint="-0.24994659260841701"/>
      </right>
      <top/>
      <bottom style="medium">
        <color theme="7" tint="-0.24994659260841701"/>
      </bottom>
      <diagonal/>
    </border>
    <border>
      <left style="thin">
        <color theme="7" tint="-0.24994659260841701"/>
      </left>
      <right/>
      <top style="medium">
        <color theme="7" tint="0.39991454817346722"/>
      </top>
      <bottom/>
      <diagonal/>
    </border>
    <border>
      <left style="medium">
        <color theme="7" tint="0.39994506668294322"/>
      </left>
      <right/>
      <top style="medium">
        <color theme="7" tint="0.39991454817346722"/>
      </top>
      <bottom/>
      <diagonal/>
    </border>
    <border>
      <left/>
      <right style="medium">
        <color theme="7" tint="0.39991454817346722"/>
      </right>
      <top style="medium">
        <color theme="7" tint="0.39991454817346722"/>
      </top>
      <bottom/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1454817346722"/>
      </top>
      <bottom/>
      <diagonal/>
    </border>
    <border>
      <left style="medium">
        <color theme="7" tint="0.39991454817346722"/>
      </left>
      <right style="thin">
        <color theme="7" tint="-0.24994659260841701"/>
      </right>
      <top style="medium">
        <color theme="7" tint="0.39991454817346722"/>
      </top>
      <bottom/>
      <diagonal/>
    </border>
    <border>
      <left style="thin">
        <color rgb="FFCC9900"/>
      </left>
      <right/>
      <top style="thin">
        <color rgb="FFCC9900"/>
      </top>
      <bottom/>
      <diagonal/>
    </border>
    <border>
      <left/>
      <right/>
      <top style="thin">
        <color rgb="FFCC9900"/>
      </top>
      <bottom/>
      <diagonal/>
    </border>
    <border>
      <left/>
      <right style="thin">
        <color rgb="FFCC9900"/>
      </right>
      <top style="thin">
        <color rgb="FFCC9900"/>
      </top>
      <bottom/>
      <diagonal/>
    </border>
    <border>
      <left style="thin">
        <color rgb="FFCC9900"/>
      </left>
      <right/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thin">
        <color rgb="FFCC9900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rgb="FFCC9900"/>
      </left>
      <right style="medium">
        <color theme="7" tint="-0.24994659260841701"/>
      </right>
      <top/>
      <bottom style="thin">
        <color rgb="FFCC9900"/>
      </bottom>
      <diagonal/>
    </border>
    <border>
      <left/>
      <right style="medium">
        <color theme="7" tint="-0.24994659260841701"/>
      </right>
      <top/>
      <bottom style="thin">
        <color rgb="FFCC9900"/>
      </bottom>
      <diagonal/>
    </border>
    <border>
      <left style="medium">
        <color theme="7" tint="-0.24994659260841701"/>
      </left>
      <right style="medium">
        <color theme="7" tint="-0.24994659260841701"/>
      </right>
      <top/>
      <bottom style="thin">
        <color rgb="FFCC9900"/>
      </bottom>
      <diagonal/>
    </border>
    <border>
      <left style="medium">
        <color theme="7" tint="-0.24994659260841701"/>
      </left>
      <right style="thin">
        <color rgb="FFCC9900"/>
      </right>
      <top/>
      <bottom style="thin">
        <color rgb="FFCC9900"/>
      </bottom>
      <diagonal/>
    </border>
    <border>
      <left/>
      <right style="medium">
        <color theme="7" tint="-0.24994659260841701"/>
      </right>
      <top/>
      <bottom style="thin">
        <color theme="7" tint="-0.24994659260841701"/>
      </bottom>
      <diagonal/>
    </border>
    <border>
      <left/>
      <right/>
      <top style="thin">
        <color theme="7" tint="-0.24994659260841701"/>
      </top>
      <bottom style="thin">
        <color theme="7" tint="-0.24994659260841701"/>
      </bottom>
      <diagonal/>
    </border>
    <border>
      <left/>
      <right style="thin">
        <color theme="7" tint="0.39988402966399123"/>
      </right>
      <top style="thick">
        <color theme="7" tint="0.39985351115451523"/>
      </top>
      <bottom/>
      <diagonal/>
    </border>
    <border>
      <left/>
      <right/>
      <top style="thick">
        <color theme="7" tint="0.39985351115451523"/>
      </top>
      <bottom/>
      <diagonal/>
    </border>
    <border>
      <left style="thin">
        <color theme="7" tint="0.39988402966399123"/>
      </left>
      <right style="thin">
        <color theme="7" tint="0.39994506668294322"/>
      </right>
      <top style="thick">
        <color theme="7" tint="0.39985351115451523"/>
      </top>
      <bottom style="medium">
        <color theme="7" tint="0.39991454817346722"/>
      </bottom>
      <diagonal/>
    </border>
    <border>
      <left style="thin">
        <color theme="7" tint="0.39994506668294322"/>
      </left>
      <right style="medium">
        <color theme="7" tint="0.39991454817346722"/>
      </right>
      <top style="thick">
        <color theme="7" tint="0.39991454817346722"/>
      </top>
      <bottom style="medium">
        <color theme="7" tint="0.39991454817346722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7" tint="-0.24994659260841701"/>
      </left>
      <right style="thin">
        <color theme="7" tint="-0.24994659260841701"/>
      </right>
      <top style="thin">
        <color theme="7" tint="-0.24994659260841701"/>
      </top>
      <bottom/>
      <diagonal/>
    </border>
    <border>
      <left style="thin">
        <color theme="7" tint="-0.24994659260841701"/>
      </left>
      <right style="thin">
        <color theme="7" tint="-0.24994659260841701"/>
      </right>
      <top style="medium">
        <color indexed="64"/>
      </top>
      <bottom style="medium">
        <color indexed="64"/>
      </bottom>
      <diagonal/>
    </border>
    <border>
      <left style="thin">
        <color theme="7" tint="-0.2499465926084170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7" tint="-0.24994659260841701"/>
      </left>
      <right style="thin">
        <color theme="7" tint="-0.24994659260841701"/>
      </right>
      <top/>
      <bottom/>
      <diagonal/>
    </border>
    <border>
      <left style="thin">
        <color theme="7" tint="-0.24994659260841701"/>
      </left>
      <right style="medium">
        <color indexed="64"/>
      </right>
      <top/>
      <bottom style="thin">
        <color theme="7" tint="-0.24994659260841701"/>
      </bottom>
      <diagonal/>
    </border>
    <border>
      <left style="thin">
        <color theme="7" tint="-0.24994659260841701"/>
      </left>
      <right style="medium">
        <color indexed="64"/>
      </right>
      <top style="thin">
        <color theme="7" tint="-0.24994659260841701"/>
      </top>
      <bottom style="thin">
        <color theme="7" tint="-0.24994659260841701"/>
      </bottom>
      <diagonal/>
    </border>
    <border>
      <left style="thin">
        <color theme="7" tint="-0.24994659260841701"/>
      </left>
      <right style="thick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 style="thin">
        <color theme="7" tint="-0.24994659260841701"/>
      </left>
      <right style="thick">
        <color theme="7" tint="-0.24994659260841701"/>
      </right>
      <top style="medium">
        <color theme="7" tint="-0.24994659260841701"/>
      </top>
      <bottom/>
      <diagonal/>
    </border>
    <border>
      <left style="thick">
        <color theme="7" tint="-0.24994659260841701"/>
      </left>
      <right style="thick">
        <color theme="7" tint="-0.24994659260841701"/>
      </right>
      <top style="medium">
        <color theme="7" tint="-0.24994659260841701"/>
      </top>
      <bottom style="medium">
        <color theme="7" tint="-0.24994659260841701"/>
      </bottom>
      <diagonal/>
    </border>
    <border>
      <left/>
      <right/>
      <top/>
      <bottom style="medium">
        <color indexed="64"/>
      </bottom>
      <diagonal/>
    </border>
    <border>
      <left style="medium">
        <color theme="7" tint="-0.24994659260841701"/>
      </left>
      <right/>
      <top/>
      <bottom style="thin">
        <color theme="7" tint="-0.24994659260841701"/>
      </bottom>
      <diagonal/>
    </border>
    <border>
      <left/>
      <right/>
      <top style="medium">
        <color theme="7" tint="0.39991454817346722"/>
      </top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72">
    <xf numFmtId="0" fontId="0" fillId="0" borderId="0" xfId="0"/>
    <xf numFmtId="0" fontId="4" fillId="2" borderId="0" xfId="0" applyFont="1" applyFill="1"/>
    <xf numFmtId="0" fontId="3" fillId="2" borderId="0" xfId="0" applyFont="1" applyFill="1"/>
    <xf numFmtId="165" fontId="5" fillId="2" borderId="0" xfId="0" applyNumberFormat="1" applyFont="1" applyFill="1"/>
    <xf numFmtId="0" fontId="5" fillId="2" borderId="0" xfId="0" applyFont="1" applyFill="1"/>
    <xf numFmtId="165" fontId="6" fillId="2" borderId="0" xfId="0" applyNumberFormat="1" applyFont="1" applyFill="1"/>
    <xf numFmtId="0" fontId="6" fillId="2" borderId="0" xfId="0" applyFont="1" applyFill="1"/>
    <xf numFmtId="166" fontId="6" fillId="2" borderId="0" xfId="0" applyNumberFormat="1" applyFont="1" applyFill="1"/>
    <xf numFmtId="0" fontId="7" fillId="2" borderId="0" xfId="0" applyFont="1" applyFill="1"/>
    <xf numFmtId="44" fontId="5" fillId="2" borderId="0" xfId="0" applyNumberFormat="1" applyFont="1" applyFill="1"/>
    <xf numFmtId="165" fontId="4" fillId="2" borderId="0" xfId="0" applyNumberFormat="1" applyFont="1" applyFill="1"/>
    <xf numFmtId="165" fontId="4" fillId="2" borderId="1" xfId="1" applyNumberFormat="1" applyFont="1" applyFill="1" applyBorder="1"/>
    <xf numFmtId="166" fontId="4" fillId="2" borderId="1" xfId="0" applyNumberFormat="1" applyFont="1" applyFill="1" applyBorder="1"/>
    <xf numFmtId="165" fontId="4" fillId="2" borderId="1" xfId="0" applyNumberFormat="1" applyFont="1" applyFill="1" applyBorder="1"/>
    <xf numFmtId="166" fontId="6" fillId="3" borderId="1" xfId="0" applyNumberFormat="1" applyFont="1" applyFill="1" applyBorder="1"/>
    <xf numFmtId="0" fontId="3" fillId="5" borderId="2" xfId="0" applyFont="1" applyFill="1" applyBorder="1"/>
    <xf numFmtId="166" fontId="6" fillId="3" borderId="3" xfId="0" applyNumberFormat="1" applyFont="1" applyFill="1" applyBorder="1"/>
    <xf numFmtId="0" fontId="6" fillId="3" borderId="0" xfId="0" applyFont="1" applyFill="1"/>
    <xf numFmtId="165" fontId="6" fillId="3" borderId="0" xfId="0" applyNumberFormat="1" applyFont="1" applyFill="1"/>
    <xf numFmtId="166" fontId="6" fillId="3" borderId="0" xfId="0" applyNumberFormat="1" applyFont="1" applyFill="1"/>
    <xf numFmtId="0" fontId="6" fillId="4" borderId="4" xfId="0" applyFont="1" applyFill="1" applyBorder="1"/>
    <xf numFmtId="0" fontId="4" fillId="2" borderId="6" xfId="0" applyFont="1" applyFill="1" applyBorder="1"/>
    <xf numFmtId="43" fontId="6" fillId="3" borderId="7" xfId="0" applyNumberFormat="1" applyFont="1" applyFill="1" applyBorder="1"/>
    <xf numFmtId="0" fontId="6" fillId="3" borderId="9" xfId="0" applyFont="1" applyFill="1" applyBorder="1"/>
    <xf numFmtId="165" fontId="6" fillId="3" borderId="10" xfId="0" applyNumberFormat="1" applyFont="1" applyFill="1" applyBorder="1"/>
    <xf numFmtId="0" fontId="6" fillId="3" borderId="4" xfId="0" applyFont="1" applyFill="1" applyBorder="1"/>
    <xf numFmtId="0" fontId="6" fillId="3" borderId="5" xfId="0" applyFont="1" applyFill="1" applyBorder="1"/>
    <xf numFmtId="0" fontId="6" fillId="3" borderId="12" xfId="0" applyFont="1" applyFill="1" applyBorder="1"/>
    <xf numFmtId="0" fontId="6" fillId="3" borderId="13" xfId="0" applyFont="1" applyFill="1" applyBorder="1"/>
    <xf numFmtId="165" fontId="6" fillId="3" borderId="14" xfId="0" applyNumberFormat="1" applyFont="1" applyFill="1" applyBorder="1"/>
    <xf numFmtId="166" fontId="6" fillId="3" borderId="14" xfId="0" applyNumberFormat="1" applyFont="1" applyFill="1" applyBorder="1"/>
    <xf numFmtId="0" fontId="6" fillId="3" borderId="4" xfId="0" applyFont="1" applyFill="1" applyBorder="1" applyAlignment="1">
      <alignment horizontal="left"/>
    </xf>
    <xf numFmtId="0" fontId="6" fillId="3" borderId="5" xfId="0" applyFont="1" applyFill="1" applyBorder="1" applyAlignment="1">
      <alignment horizontal="center"/>
    </xf>
    <xf numFmtId="0" fontId="5" fillId="4" borderId="7" xfId="0" applyFont="1" applyFill="1" applyBorder="1"/>
    <xf numFmtId="0" fontId="8" fillId="2" borderId="6" xfId="0" applyFont="1" applyFill="1" applyBorder="1"/>
    <xf numFmtId="0" fontId="6" fillId="3" borderId="6" xfId="0" applyFont="1" applyFill="1" applyBorder="1"/>
    <xf numFmtId="0" fontId="6" fillId="4" borderId="6" xfId="0" applyFont="1" applyFill="1" applyBorder="1"/>
    <xf numFmtId="0" fontId="3" fillId="5" borderId="15" xfId="0" applyFont="1" applyFill="1" applyBorder="1"/>
    <xf numFmtId="165" fontId="6" fillId="3" borderId="18" xfId="0" applyNumberFormat="1" applyFont="1" applyFill="1" applyBorder="1"/>
    <xf numFmtId="166" fontId="6" fillId="3" borderId="24" xfId="0" applyNumberFormat="1" applyFont="1" applyFill="1" applyBorder="1"/>
    <xf numFmtId="0" fontId="5" fillId="2" borderId="27" xfId="0" applyFont="1" applyFill="1" applyBorder="1"/>
    <xf numFmtId="0" fontId="6" fillId="3" borderId="25" xfId="0" applyFont="1" applyFill="1" applyBorder="1"/>
    <xf numFmtId="0" fontId="6" fillId="3" borderId="7" xfId="0" applyFont="1" applyFill="1" applyBorder="1"/>
    <xf numFmtId="0" fontId="2" fillId="3" borderId="9" xfId="0" applyFont="1" applyFill="1" applyBorder="1"/>
    <xf numFmtId="0" fontId="2" fillId="3" borderId="10" xfId="0" applyFont="1" applyFill="1" applyBorder="1"/>
    <xf numFmtId="165" fontId="2" fillId="3" borderId="10" xfId="0" applyNumberFormat="1" applyFont="1" applyFill="1" applyBorder="1"/>
    <xf numFmtId="166" fontId="2" fillId="3" borderId="11" xfId="0" applyNumberFormat="1" applyFont="1" applyFill="1" applyBorder="1"/>
    <xf numFmtId="0" fontId="2" fillId="3" borderId="0" xfId="0" applyFont="1" applyFill="1"/>
    <xf numFmtId="165" fontId="2" fillId="3" borderId="0" xfId="1" applyNumberFormat="1" applyFont="1" applyFill="1" applyBorder="1"/>
    <xf numFmtId="0" fontId="2" fillId="3" borderId="7" xfId="0" applyFont="1" applyFill="1" applyBorder="1"/>
    <xf numFmtId="166" fontId="2" fillId="3" borderId="8" xfId="0" applyNumberFormat="1" applyFont="1" applyFill="1" applyBorder="1"/>
    <xf numFmtId="0" fontId="5" fillId="2" borderId="28" xfId="0" applyFont="1" applyFill="1" applyBorder="1"/>
    <xf numFmtId="165" fontId="5" fillId="2" borderId="28" xfId="0" applyNumberFormat="1" applyFont="1" applyFill="1" applyBorder="1"/>
    <xf numFmtId="166" fontId="5" fillId="2" borderId="28" xfId="0" applyNumberFormat="1" applyFont="1" applyFill="1" applyBorder="1"/>
    <xf numFmtId="0" fontId="6" fillId="2" borderId="29" xfId="0" applyFont="1" applyFill="1" applyBorder="1"/>
    <xf numFmtId="165" fontId="6" fillId="3" borderId="30" xfId="0" applyNumberFormat="1" applyFont="1" applyFill="1" applyBorder="1"/>
    <xf numFmtId="165" fontId="5" fillId="2" borderId="28" xfId="1" applyNumberFormat="1" applyFont="1" applyFill="1" applyBorder="1"/>
    <xf numFmtId="0" fontId="6" fillId="3" borderId="34" xfId="0" applyFont="1" applyFill="1" applyBorder="1"/>
    <xf numFmtId="0" fontId="6" fillId="3" borderId="35" xfId="0" applyFont="1" applyFill="1" applyBorder="1"/>
    <xf numFmtId="166" fontId="6" fillId="3" borderId="36" xfId="0" applyNumberFormat="1" applyFont="1" applyFill="1" applyBorder="1"/>
    <xf numFmtId="0" fontId="5" fillId="2" borderId="37" xfId="0" applyFont="1" applyFill="1" applyBorder="1"/>
    <xf numFmtId="0" fontId="6" fillId="2" borderId="38" xfId="0" applyFont="1" applyFill="1" applyBorder="1"/>
    <xf numFmtId="0" fontId="6" fillId="4" borderId="9" xfId="0" applyFont="1" applyFill="1" applyBorder="1"/>
    <xf numFmtId="0" fontId="6" fillId="4" borderId="10" xfId="0" applyFont="1" applyFill="1" applyBorder="1"/>
    <xf numFmtId="44" fontId="6" fillId="4" borderId="10" xfId="1" applyFont="1" applyFill="1" applyBorder="1"/>
    <xf numFmtId="166" fontId="6" fillId="4" borderId="11" xfId="0" applyNumberFormat="1" applyFont="1" applyFill="1" applyBorder="1"/>
    <xf numFmtId="44" fontId="5" fillId="0" borderId="28" xfId="0" applyNumberFormat="1" applyFont="1" applyBorder="1"/>
    <xf numFmtId="0" fontId="5" fillId="0" borderId="28" xfId="0" applyFont="1" applyBorder="1"/>
    <xf numFmtId="0" fontId="6" fillId="4" borderId="7" xfId="0" applyFont="1" applyFill="1" applyBorder="1"/>
    <xf numFmtId="0" fontId="6" fillId="4" borderId="0" xfId="0" applyFont="1" applyFill="1"/>
    <xf numFmtId="165" fontId="6" fillId="4" borderId="0" xfId="0" applyNumberFormat="1" applyFont="1" applyFill="1"/>
    <xf numFmtId="166" fontId="6" fillId="4" borderId="8" xfId="0" applyNumberFormat="1" applyFont="1" applyFill="1" applyBorder="1"/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164" fontId="5" fillId="2" borderId="0" xfId="0" applyNumberFormat="1" applyFont="1" applyFill="1"/>
    <xf numFmtId="0" fontId="10" fillId="2" borderId="7" xfId="0" applyFont="1" applyFill="1" applyBorder="1"/>
    <xf numFmtId="0" fontId="10" fillId="2" borderId="0" xfId="0" applyFont="1" applyFill="1"/>
    <xf numFmtId="0" fontId="6" fillId="4" borderId="39" xfId="0" applyFont="1" applyFill="1" applyBorder="1"/>
    <xf numFmtId="0" fontId="6" fillId="4" borderId="5" xfId="0" applyFont="1" applyFill="1" applyBorder="1"/>
    <xf numFmtId="165" fontId="11" fillId="4" borderId="0" xfId="1" applyNumberFormat="1" applyFont="1" applyFill="1" applyBorder="1"/>
    <xf numFmtId="166" fontId="11" fillId="4" borderId="0" xfId="0" applyNumberFormat="1" applyFont="1" applyFill="1"/>
    <xf numFmtId="165" fontId="6" fillId="3" borderId="39" xfId="0" applyNumberFormat="1" applyFont="1" applyFill="1" applyBorder="1"/>
    <xf numFmtId="165" fontId="12" fillId="2" borderId="1" xfId="0" applyNumberFormat="1" applyFont="1" applyFill="1" applyBorder="1"/>
    <xf numFmtId="166" fontId="12" fillId="2" borderId="1" xfId="0" applyNumberFormat="1" applyFont="1" applyFill="1" applyBorder="1"/>
    <xf numFmtId="165" fontId="5" fillId="2" borderId="41" xfId="0" applyNumberFormat="1" applyFont="1" applyFill="1" applyBorder="1"/>
    <xf numFmtId="166" fontId="5" fillId="2" borderId="41" xfId="0" applyNumberFormat="1" applyFont="1" applyFill="1" applyBorder="1"/>
    <xf numFmtId="0" fontId="4" fillId="2" borderId="28" xfId="0" applyFont="1" applyFill="1" applyBorder="1" applyAlignment="1">
      <alignment horizontal="left"/>
    </xf>
    <xf numFmtId="0" fontId="2" fillId="2" borderId="28" xfId="0" applyFont="1" applyFill="1" applyBorder="1" applyAlignment="1">
      <alignment horizontal="center"/>
    </xf>
    <xf numFmtId="0" fontId="2" fillId="3" borderId="45" xfId="0" applyFont="1" applyFill="1" applyBorder="1"/>
    <xf numFmtId="165" fontId="2" fillId="3" borderId="46" xfId="0" applyNumberFormat="1" applyFont="1" applyFill="1" applyBorder="1"/>
    <xf numFmtId="166" fontId="2" fillId="3" borderId="44" xfId="0" applyNumberFormat="1" applyFont="1" applyFill="1" applyBorder="1"/>
    <xf numFmtId="0" fontId="6" fillId="3" borderId="47" xfId="0" applyFont="1" applyFill="1" applyBorder="1"/>
    <xf numFmtId="0" fontId="0" fillId="2" borderId="0" xfId="0" applyFill="1"/>
    <xf numFmtId="2" fontId="0" fillId="2" borderId="0" xfId="0" applyNumberFormat="1" applyFill="1"/>
    <xf numFmtId="0" fontId="13" fillId="3" borderId="48" xfId="0" applyFont="1" applyFill="1" applyBorder="1"/>
    <xf numFmtId="0" fontId="0" fillId="0" borderId="54" xfId="0" applyBorder="1"/>
    <xf numFmtId="0" fontId="0" fillId="0" borderId="51" xfId="0" applyBorder="1"/>
    <xf numFmtId="0" fontId="0" fillId="0" borderId="57" xfId="0" applyBorder="1"/>
    <xf numFmtId="0" fontId="0" fillId="0" borderId="58" xfId="0" applyBorder="1" applyAlignment="1">
      <alignment horizontal="right"/>
    </xf>
    <xf numFmtId="0" fontId="0" fillId="0" borderId="59" xfId="0" applyBorder="1" applyAlignment="1">
      <alignment horizontal="right"/>
    </xf>
    <xf numFmtId="2" fontId="0" fillId="0" borderId="53" xfId="0" applyNumberFormat="1" applyBorder="1" applyAlignment="1">
      <alignment horizontal="right"/>
    </xf>
    <xf numFmtId="2" fontId="0" fillId="0" borderId="56" xfId="0" applyNumberFormat="1" applyBorder="1" applyAlignment="1">
      <alignment horizontal="right"/>
    </xf>
    <xf numFmtId="0" fontId="13" fillId="6" borderId="48" xfId="0" applyFont="1" applyFill="1" applyBorder="1"/>
    <xf numFmtId="0" fontId="13" fillId="6" borderId="49" xfId="0" applyFont="1" applyFill="1" applyBorder="1" applyAlignment="1">
      <alignment horizontal="center"/>
    </xf>
    <xf numFmtId="0" fontId="13" fillId="6" borderId="50" xfId="0" applyFont="1" applyFill="1" applyBorder="1" applyAlignment="1">
      <alignment horizontal="center"/>
    </xf>
    <xf numFmtId="0" fontId="0" fillId="4" borderId="60" xfId="0" applyFill="1" applyBorder="1"/>
    <xf numFmtId="0" fontId="13" fillId="3" borderId="61" xfId="0" applyFont="1" applyFill="1" applyBorder="1"/>
    <xf numFmtId="0" fontId="13" fillId="3" borderId="62" xfId="0" applyFont="1" applyFill="1" applyBorder="1" applyAlignment="1">
      <alignment horizontal="center"/>
    </xf>
    <xf numFmtId="0" fontId="13" fillId="3" borderId="63" xfId="0" applyFont="1" applyFill="1" applyBorder="1" applyAlignment="1">
      <alignment horizontal="center"/>
    </xf>
    <xf numFmtId="0" fontId="14" fillId="0" borderId="0" xfId="0" applyFont="1"/>
    <xf numFmtId="165" fontId="6" fillId="3" borderId="66" xfId="0" applyNumberFormat="1" applyFont="1" applyFill="1" applyBorder="1"/>
    <xf numFmtId="0" fontId="5" fillId="6" borderId="67" xfId="0" applyFont="1" applyFill="1" applyBorder="1"/>
    <xf numFmtId="0" fontId="6" fillId="6" borderId="68" xfId="0" applyFont="1" applyFill="1" applyBorder="1"/>
    <xf numFmtId="0" fontId="6" fillId="3" borderId="69" xfId="0" applyFont="1" applyFill="1" applyBorder="1"/>
    <xf numFmtId="166" fontId="6" fillId="2" borderId="26" xfId="0" applyNumberFormat="1" applyFont="1" applyFill="1" applyBorder="1"/>
    <xf numFmtId="0" fontId="6" fillId="6" borderId="9" xfId="0" applyFont="1" applyFill="1" applyBorder="1"/>
    <xf numFmtId="0" fontId="6" fillId="6" borderId="10" xfId="0" applyFont="1" applyFill="1" applyBorder="1"/>
    <xf numFmtId="165" fontId="6" fillId="6" borderId="10" xfId="0" applyNumberFormat="1" applyFont="1" applyFill="1" applyBorder="1"/>
    <xf numFmtId="166" fontId="5" fillId="6" borderId="28" xfId="0" applyNumberFormat="1" applyFont="1" applyFill="1" applyBorder="1"/>
    <xf numFmtId="0" fontId="6" fillId="6" borderId="16" xfId="0" applyFont="1" applyFill="1" applyBorder="1"/>
    <xf numFmtId="165" fontId="6" fillId="6" borderId="30" xfId="0" applyNumberFormat="1" applyFont="1" applyFill="1" applyBorder="1"/>
    <xf numFmtId="166" fontId="6" fillId="6" borderId="26" xfId="0" applyNumberFormat="1" applyFont="1" applyFill="1" applyBorder="1"/>
    <xf numFmtId="166" fontId="6" fillId="3" borderId="11" xfId="0" applyNumberFormat="1" applyFont="1" applyFill="1" applyBorder="1"/>
    <xf numFmtId="0" fontId="6" fillId="2" borderId="0" xfId="0" applyFont="1" applyFill="1" applyAlignment="1">
      <alignment horizontal="center"/>
    </xf>
    <xf numFmtId="0" fontId="6" fillId="3" borderId="70" xfId="0" applyFont="1" applyFill="1" applyBorder="1"/>
    <xf numFmtId="165" fontId="6" fillId="3" borderId="73" xfId="0" applyNumberFormat="1" applyFont="1" applyFill="1" applyBorder="1"/>
    <xf numFmtId="166" fontId="6" fillId="3" borderId="74" xfId="0" applyNumberFormat="1" applyFont="1" applyFill="1" applyBorder="1"/>
    <xf numFmtId="0" fontId="5" fillId="2" borderId="78" xfId="0" applyFont="1" applyFill="1" applyBorder="1"/>
    <xf numFmtId="166" fontId="5" fillId="2" borderId="79" xfId="0" applyNumberFormat="1" applyFont="1" applyFill="1" applyBorder="1"/>
    <xf numFmtId="0" fontId="6" fillId="3" borderId="80" xfId="0" applyFont="1" applyFill="1" applyBorder="1"/>
    <xf numFmtId="0" fontId="6" fillId="3" borderId="81" xfId="0" applyFont="1" applyFill="1" applyBorder="1"/>
    <xf numFmtId="0" fontId="6" fillId="3" borderId="82" xfId="0" applyFont="1" applyFill="1" applyBorder="1"/>
    <xf numFmtId="165" fontId="6" fillId="3" borderId="82" xfId="0" applyNumberFormat="1" applyFont="1" applyFill="1" applyBorder="1"/>
    <xf numFmtId="166" fontId="6" fillId="3" borderId="83" xfId="0" applyNumberFormat="1" applyFont="1" applyFill="1" applyBorder="1"/>
    <xf numFmtId="166" fontId="6" fillId="3" borderId="66" xfId="0" applyNumberFormat="1" applyFont="1" applyFill="1" applyBorder="1"/>
    <xf numFmtId="166" fontId="6" fillId="3" borderId="17" xfId="0" applyNumberFormat="1" applyFont="1" applyFill="1" applyBorder="1"/>
    <xf numFmtId="43" fontId="6" fillId="3" borderId="0" xfId="0" applyNumberFormat="1" applyFont="1" applyFill="1"/>
    <xf numFmtId="43" fontId="0" fillId="0" borderId="52" xfId="3" applyFont="1" applyBorder="1" applyAlignment="1">
      <alignment horizontal="right"/>
    </xf>
    <xf numFmtId="43" fontId="0" fillId="0" borderId="53" xfId="3" applyFont="1" applyBorder="1" applyAlignment="1">
      <alignment horizontal="right"/>
    </xf>
    <xf numFmtId="0" fontId="5" fillId="2" borderId="7" xfId="0" applyFont="1" applyFill="1" applyBorder="1" applyAlignment="1">
      <alignment horizontal="left"/>
    </xf>
    <xf numFmtId="0" fontId="5" fillId="2" borderId="0" xfId="0" applyFont="1" applyFill="1" applyAlignment="1">
      <alignment horizontal="left"/>
    </xf>
    <xf numFmtId="165" fontId="6" fillId="3" borderId="7" xfId="0" applyNumberFormat="1" applyFont="1" applyFill="1" applyBorder="1" applyAlignment="1">
      <alignment horizontal="left"/>
    </xf>
    <xf numFmtId="0" fontId="4" fillId="2" borderId="1" xfId="0" applyFont="1" applyFill="1" applyBorder="1"/>
    <xf numFmtId="43" fontId="4" fillId="2" borderId="1" xfId="0" applyNumberFormat="1" applyFont="1" applyFill="1" applyBorder="1"/>
    <xf numFmtId="0" fontId="6" fillId="2" borderId="6" xfId="0" applyFont="1" applyFill="1" applyBorder="1"/>
    <xf numFmtId="165" fontId="6" fillId="2" borderId="39" xfId="0" applyNumberFormat="1" applyFont="1" applyFill="1" applyBorder="1"/>
    <xf numFmtId="166" fontId="6" fillId="2" borderId="39" xfId="0" applyNumberFormat="1" applyFont="1" applyFill="1" applyBorder="1"/>
    <xf numFmtId="165" fontId="4" fillId="2" borderId="39" xfId="0" applyNumberFormat="1" applyFont="1" applyFill="1" applyBorder="1"/>
    <xf numFmtId="167" fontId="15" fillId="0" borderId="0" xfId="0" applyNumberFormat="1" applyFont="1" applyAlignment="1">
      <alignment horizontal="right" vertical="top"/>
    </xf>
    <xf numFmtId="165" fontId="5" fillId="2" borderId="10" xfId="0" applyNumberFormat="1" applyFont="1" applyFill="1" applyBorder="1"/>
    <xf numFmtId="0" fontId="6" fillId="3" borderId="84" xfId="0" applyFont="1" applyFill="1" applyBorder="1"/>
    <xf numFmtId="0" fontId="6" fillId="3" borderId="30" xfId="0" applyFont="1" applyFill="1" applyBorder="1"/>
    <xf numFmtId="0" fontId="2" fillId="5" borderId="0" xfId="0" applyFont="1" applyFill="1"/>
    <xf numFmtId="0" fontId="2" fillId="5" borderId="28" xfId="0" applyFont="1" applyFill="1" applyBorder="1"/>
    <xf numFmtId="165" fontId="2" fillId="2" borderId="0" xfId="1" applyNumberFormat="1" applyFont="1" applyFill="1" applyBorder="1"/>
    <xf numFmtId="0" fontId="2" fillId="2" borderId="0" xfId="0" applyFont="1" applyFill="1"/>
    <xf numFmtId="166" fontId="2" fillId="2" borderId="0" xfId="0" applyNumberFormat="1" applyFont="1" applyFill="1"/>
    <xf numFmtId="166" fontId="5" fillId="2" borderId="0" xfId="0" applyNumberFormat="1" applyFont="1" applyFill="1"/>
    <xf numFmtId="0" fontId="5" fillId="2" borderId="4" xfId="0" applyFont="1" applyFill="1" applyBorder="1"/>
    <xf numFmtId="165" fontId="5" fillId="2" borderId="40" xfId="0" applyNumberFormat="1" applyFont="1" applyFill="1" applyBorder="1"/>
    <xf numFmtId="165" fontId="2" fillId="3" borderId="88" xfId="0" applyNumberFormat="1" applyFont="1" applyFill="1" applyBorder="1" applyAlignment="1">
      <alignment horizontal="center"/>
    </xf>
    <xf numFmtId="166" fontId="2" fillId="3" borderId="89" xfId="0" applyNumberFormat="1" applyFont="1" applyFill="1" applyBorder="1" applyAlignment="1">
      <alignment horizontal="center"/>
    </xf>
    <xf numFmtId="44" fontId="5" fillId="0" borderId="28" xfId="0" applyNumberFormat="1" applyFont="1" applyBorder="1" applyAlignment="1">
      <alignment horizontal="right"/>
    </xf>
    <xf numFmtId="0" fontId="0" fillId="0" borderId="90" xfId="0" applyBorder="1"/>
    <xf numFmtId="44" fontId="5" fillId="0" borderId="91" xfId="0" applyNumberFormat="1" applyFont="1" applyBorder="1" applyAlignment="1">
      <alignment horizontal="right"/>
    </xf>
    <xf numFmtId="0" fontId="0" fillId="4" borderId="48" xfId="0" applyFill="1" applyBorder="1"/>
    <xf numFmtId="44" fontId="5" fillId="4" borderId="92" xfId="0" applyNumberFormat="1" applyFont="1" applyFill="1" applyBorder="1" applyAlignment="1">
      <alignment horizontal="right"/>
    </xf>
    <xf numFmtId="166" fontId="5" fillId="4" borderId="93" xfId="0" applyNumberFormat="1" applyFont="1" applyFill="1" applyBorder="1"/>
    <xf numFmtId="0" fontId="0" fillId="0" borderId="94" xfId="0" applyBorder="1"/>
    <xf numFmtId="44" fontId="5" fillId="0" borderId="95" xfId="0" applyNumberFormat="1" applyFont="1" applyBorder="1" applyAlignment="1">
      <alignment horizontal="right"/>
    </xf>
    <xf numFmtId="0" fontId="13" fillId="3" borderId="49" xfId="0" applyFont="1" applyFill="1" applyBorder="1" applyAlignment="1">
      <alignment horizontal="center"/>
    </xf>
    <xf numFmtId="0" fontId="13" fillId="3" borderId="50" xfId="0" applyFont="1" applyFill="1" applyBorder="1" applyAlignment="1">
      <alignment horizontal="center"/>
    </xf>
    <xf numFmtId="166" fontId="5" fillId="2" borderId="96" xfId="0" applyNumberFormat="1" applyFont="1" applyFill="1" applyBorder="1"/>
    <xf numFmtId="0" fontId="13" fillId="7" borderId="48" xfId="0" applyFont="1" applyFill="1" applyBorder="1"/>
    <xf numFmtId="44" fontId="5" fillId="7" borderId="92" xfId="0" applyNumberFormat="1" applyFont="1" applyFill="1" applyBorder="1" applyAlignment="1">
      <alignment horizontal="right"/>
    </xf>
    <xf numFmtId="166" fontId="5" fillId="7" borderId="93" xfId="0" applyNumberFormat="1" applyFont="1" applyFill="1" applyBorder="1"/>
    <xf numFmtId="166" fontId="5" fillId="2" borderId="97" xfId="0" applyNumberFormat="1" applyFont="1" applyFill="1" applyBorder="1"/>
    <xf numFmtId="0" fontId="5" fillId="2" borderId="85" xfId="0" applyFont="1" applyFill="1" applyBorder="1"/>
    <xf numFmtId="0" fontId="5" fillId="2" borderId="40" xfId="0" applyFont="1" applyFill="1" applyBorder="1"/>
    <xf numFmtId="0" fontId="16" fillId="3" borderId="0" xfId="0" applyFont="1" applyFill="1"/>
    <xf numFmtId="0" fontId="6" fillId="3" borderId="87" xfId="0" applyFont="1" applyFill="1" applyBorder="1"/>
    <xf numFmtId="0" fontId="6" fillId="3" borderId="86" xfId="0" applyFont="1" applyFill="1" applyBorder="1"/>
    <xf numFmtId="165" fontId="4" fillId="2" borderId="3" xfId="0" applyNumberFormat="1" applyFont="1" applyFill="1" applyBorder="1"/>
    <xf numFmtId="165" fontId="4" fillId="2" borderId="100" xfId="0" applyNumberFormat="1" applyFont="1" applyFill="1" applyBorder="1"/>
    <xf numFmtId="167" fontId="17" fillId="0" borderId="0" xfId="0" applyNumberFormat="1" applyFont="1" applyAlignment="1">
      <alignment horizontal="right" vertical="top"/>
    </xf>
    <xf numFmtId="0" fontId="13" fillId="6" borderId="61" xfId="0" applyFont="1" applyFill="1" applyBorder="1"/>
    <xf numFmtId="0" fontId="13" fillId="6" borderId="62" xfId="0" applyFont="1" applyFill="1" applyBorder="1" applyAlignment="1">
      <alignment horizontal="center"/>
    </xf>
    <xf numFmtId="0" fontId="13" fillId="6" borderId="63" xfId="0" applyFont="1" applyFill="1" applyBorder="1" applyAlignment="1">
      <alignment horizontal="center"/>
    </xf>
    <xf numFmtId="43" fontId="0" fillId="0" borderId="55" xfId="3" applyFont="1" applyBorder="1" applyAlignment="1">
      <alignment horizontal="right"/>
    </xf>
    <xf numFmtId="0" fontId="0" fillId="8" borderId="60" xfId="0" applyFill="1" applyBorder="1"/>
    <xf numFmtId="43" fontId="0" fillId="0" borderId="56" xfId="3" applyFont="1" applyBorder="1" applyAlignment="1">
      <alignment horizontal="right"/>
    </xf>
    <xf numFmtId="43" fontId="0" fillId="8" borderId="58" xfId="3" applyFont="1" applyFill="1" applyBorder="1" applyAlignment="1">
      <alignment horizontal="right"/>
    </xf>
    <xf numFmtId="43" fontId="13" fillId="3" borderId="49" xfId="3" applyFont="1" applyFill="1" applyBorder="1" applyAlignment="1">
      <alignment horizontal="right"/>
    </xf>
    <xf numFmtId="43" fontId="13" fillId="3" borderId="50" xfId="3" applyFont="1" applyFill="1" applyBorder="1" applyAlignment="1">
      <alignment horizontal="right"/>
    </xf>
    <xf numFmtId="166" fontId="4" fillId="2" borderId="0" xfId="0" applyNumberFormat="1" applyFont="1" applyFill="1"/>
    <xf numFmtId="43" fontId="0" fillId="0" borderId="0" xfId="0" applyNumberFormat="1"/>
    <xf numFmtId="0" fontId="19" fillId="0" borderId="0" xfId="0" applyFont="1"/>
    <xf numFmtId="0" fontId="4" fillId="2" borderId="99" xfId="0" applyFont="1" applyFill="1" applyBorder="1"/>
    <xf numFmtId="0" fontId="4" fillId="2" borderId="98" xfId="0" applyFont="1" applyFill="1" applyBorder="1"/>
    <xf numFmtId="0" fontId="18" fillId="0" borderId="37" xfId="0" applyFont="1" applyBorder="1"/>
    <xf numFmtId="0" fontId="18" fillId="0" borderId="85" xfId="0" applyFont="1" applyBorder="1"/>
    <xf numFmtId="0" fontId="18" fillId="0" borderId="40" xfId="0" applyFont="1" applyBorder="1"/>
    <xf numFmtId="0" fontId="14" fillId="0" borderId="101" xfId="0" applyFont="1" applyBorder="1" applyAlignment="1">
      <alignment horizontal="center"/>
    </xf>
    <xf numFmtId="0" fontId="3" fillId="2" borderId="0" xfId="0" applyFont="1" applyFill="1" applyAlignment="1">
      <alignment horizontal="center"/>
    </xf>
    <xf numFmtId="0" fontId="6" fillId="3" borderId="7" xfId="0" applyFont="1" applyFill="1" applyBorder="1" applyAlignment="1">
      <alignment horizontal="left"/>
    </xf>
    <xf numFmtId="0" fontId="6" fillId="3" borderId="0" xfId="0" applyFont="1" applyFill="1" applyAlignment="1">
      <alignment horizontal="left"/>
    </xf>
    <xf numFmtId="14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5" fillId="0" borderId="28" xfId="0" applyFont="1" applyBorder="1" applyAlignment="1">
      <alignment horizontal="left"/>
    </xf>
    <xf numFmtId="0" fontId="6" fillId="5" borderId="7" xfId="0" applyFont="1" applyFill="1" applyBorder="1" applyAlignment="1">
      <alignment horizontal="center"/>
    </xf>
    <xf numFmtId="0" fontId="6" fillId="5" borderId="0" xfId="0" applyFont="1" applyFill="1" applyAlignment="1">
      <alignment horizontal="center"/>
    </xf>
    <xf numFmtId="0" fontId="6" fillId="5" borderId="8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2" fillId="5" borderId="0" xfId="0" applyFont="1" applyFill="1" applyAlignment="1">
      <alignment horizontal="center"/>
    </xf>
    <xf numFmtId="0" fontId="5" fillId="2" borderId="9" xfId="0" applyFont="1" applyFill="1" applyBorder="1" applyAlignment="1">
      <alignment horizontal="left"/>
    </xf>
    <xf numFmtId="0" fontId="5" fillId="2" borderId="11" xfId="0" applyFont="1" applyFill="1" applyBorder="1" applyAlignment="1">
      <alignment horizontal="left"/>
    </xf>
    <xf numFmtId="0" fontId="5" fillId="2" borderId="37" xfId="0" applyFont="1" applyFill="1" applyBorder="1" applyAlignment="1">
      <alignment horizontal="left"/>
    </xf>
    <xf numFmtId="0" fontId="5" fillId="2" borderId="40" xfId="0" applyFont="1" applyFill="1" applyBorder="1" applyAlignment="1">
      <alignment horizontal="left"/>
    </xf>
    <xf numFmtId="0" fontId="5" fillId="2" borderId="42" xfId="0" applyFont="1" applyFill="1" applyBorder="1" applyAlignment="1">
      <alignment horizontal="left"/>
    </xf>
    <xf numFmtId="0" fontId="5" fillId="2" borderId="43" xfId="0" applyFont="1" applyFill="1" applyBorder="1" applyAlignment="1">
      <alignment horizontal="left"/>
    </xf>
    <xf numFmtId="0" fontId="5" fillId="0" borderId="37" xfId="0" applyFont="1" applyBorder="1" applyAlignment="1">
      <alignment horizontal="left"/>
    </xf>
    <xf numFmtId="0" fontId="5" fillId="0" borderId="40" xfId="0" applyFont="1" applyBorder="1" applyAlignment="1">
      <alignment horizontal="left"/>
    </xf>
    <xf numFmtId="0" fontId="5" fillId="0" borderId="28" xfId="0" applyFont="1" applyBorder="1" applyAlignment="1">
      <alignment horizontal="left" wrapText="1"/>
    </xf>
    <xf numFmtId="0" fontId="9" fillId="3" borderId="20" xfId="0" applyFont="1" applyFill="1" applyBorder="1" applyAlignment="1">
      <alignment horizontal="center"/>
    </xf>
    <xf numFmtId="0" fontId="9" fillId="3" borderId="21" xfId="0" applyFont="1" applyFill="1" applyBorder="1" applyAlignment="1">
      <alignment horizontal="center"/>
    </xf>
    <xf numFmtId="0" fontId="9" fillId="3" borderId="22" xfId="0" applyFont="1" applyFill="1" applyBorder="1" applyAlignment="1">
      <alignment horizontal="center"/>
    </xf>
    <xf numFmtId="0" fontId="6" fillId="5" borderId="31" xfId="0" applyFont="1" applyFill="1" applyBorder="1" applyAlignment="1">
      <alignment horizontal="center"/>
    </xf>
    <xf numFmtId="0" fontId="6" fillId="5" borderId="32" xfId="0" applyFont="1" applyFill="1" applyBorder="1" applyAlignment="1">
      <alignment horizontal="center"/>
    </xf>
    <xf numFmtId="0" fontId="6" fillId="5" borderId="33" xfId="0" applyFont="1" applyFill="1" applyBorder="1" applyAlignment="1">
      <alignment horizontal="center"/>
    </xf>
    <xf numFmtId="0" fontId="6" fillId="3" borderId="23" xfId="0" applyFont="1" applyFill="1" applyBorder="1" applyAlignment="1">
      <alignment horizontal="left"/>
    </xf>
    <xf numFmtId="0" fontId="6" fillId="3" borderId="19" xfId="0" applyFont="1" applyFill="1" applyBorder="1" applyAlignment="1">
      <alignment horizontal="left"/>
    </xf>
    <xf numFmtId="0" fontId="5" fillId="2" borderId="37" xfId="0" applyFont="1" applyFill="1" applyBorder="1" applyAlignment="1">
      <alignment horizontal="center"/>
    </xf>
    <xf numFmtId="0" fontId="5" fillId="2" borderId="40" xfId="0" applyFont="1" applyFill="1" applyBorder="1" applyAlignment="1">
      <alignment horizontal="center"/>
    </xf>
    <xf numFmtId="0" fontId="5" fillId="0" borderId="85" xfId="0" applyFont="1" applyBorder="1" applyAlignment="1">
      <alignment horizontal="left"/>
    </xf>
    <xf numFmtId="0" fontId="5" fillId="0" borderId="37" xfId="0" applyFont="1" applyBorder="1" applyAlignment="1">
      <alignment horizontal="left" wrapText="1"/>
    </xf>
    <xf numFmtId="0" fontId="5" fillId="0" borderId="85" xfId="0" applyFont="1" applyBorder="1" applyAlignment="1">
      <alignment horizontal="left" wrapText="1"/>
    </xf>
    <xf numFmtId="0" fontId="5" fillId="0" borderId="40" xfId="0" applyFont="1" applyBorder="1" applyAlignment="1">
      <alignment horizontal="left" wrapText="1"/>
    </xf>
    <xf numFmtId="0" fontId="18" fillId="0" borderId="37" xfId="0" applyFont="1" applyBorder="1" applyAlignment="1">
      <alignment horizontal="left"/>
    </xf>
    <xf numFmtId="0" fontId="18" fillId="0" borderId="85" xfId="0" applyFont="1" applyBorder="1" applyAlignment="1">
      <alignment horizontal="left"/>
    </xf>
    <xf numFmtId="0" fontId="18" fillId="0" borderId="40" xfId="0" applyFont="1" applyBorder="1" applyAlignment="1">
      <alignment horizontal="left"/>
    </xf>
    <xf numFmtId="0" fontId="6" fillId="4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5" fillId="2" borderId="85" xfId="0" applyFont="1" applyFill="1" applyBorder="1" applyAlignment="1">
      <alignment horizontal="left"/>
    </xf>
    <xf numFmtId="0" fontId="5" fillId="2" borderId="28" xfId="0" applyFont="1" applyFill="1" applyBorder="1"/>
    <xf numFmtId="0" fontId="5" fillId="2" borderId="37" xfId="0" applyFont="1" applyFill="1" applyBorder="1"/>
    <xf numFmtId="0" fontId="5" fillId="2" borderId="85" xfId="0" applyFont="1" applyFill="1" applyBorder="1"/>
    <xf numFmtId="0" fontId="5" fillId="2" borderId="40" xfId="0" applyFont="1" applyFill="1" applyBorder="1"/>
    <xf numFmtId="0" fontId="5" fillId="2" borderId="37" xfId="0" applyFont="1" applyFill="1" applyBorder="1" applyAlignment="1">
      <alignment horizontal="left" wrapText="1"/>
    </xf>
    <xf numFmtId="0" fontId="6" fillId="4" borderId="85" xfId="0" applyFont="1" applyFill="1" applyBorder="1" applyAlignment="1">
      <alignment horizontal="center"/>
    </xf>
    <xf numFmtId="0" fontId="16" fillId="3" borderId="20" xfId="0" applyFont="1" applyFill="1" applyBorder="1" applyAlignment="1">
      <alignment horizontal="center"/>
    </xf>
    <xf numFmtId="0" fontId="16" fillId="3" borderId="64" xfId="0" applyFont="1" applyFill="1" applyBorder="1" applyAlignment="1">
      <alignment horizontal="center"/>
    </xf>
    <xf numFmtId="0" fontId="16" fillId="3" borderId="21" xfId="0" applyFont="1" applyFill="1" applyBorder="1" applyAlignment="1">
      <alignment horizontal="center"/>
    </xf>
    <xf numFmtId="0" fontId="16" fillId="3" borderId="22" xfId="0" applyFont="1" applyFill="1" applyBorder="1" applyAlignment="1">
      <alignment horizontal="center"/>
    </xf>
    <xf numFmtId="0" fontId="2" fillId="5" borderId="75" xfId="0" applyFont="1" applyFill="1" applyBorder="1" applyAlignment="1">
      <alignment horizontal="left"/>
    </xf>
    <xf numFmtId="0" fontId="2" fillId="5" borderId="76" xfId="0" applyFont="1" applyFill="1" applyBorder="1" applyAlignment="1">
      <alignment horizontal="left"/>
    </xf>
    <xf numFmtId="0" fontId="2" fillId="5" borderId="77" xfId="0" applyFont="1" applyFill="1" applyBorder="1" applyAlignment="1">
      <alignment horizontal="left"/>
    </xf>
    <xf numFmtId="0" fontId="2" fillId="5" borderId="4" xfId="0" applyFont="1" applyFill="1" applyBorder="1" applyAlignment="1">
      <alignment horizontal="left"/>
    </xf>
    <xf numFmtId="0" fontId="2" fillId="5" borderId="5" xfId="0" applyFont="1" applyFill="1" applyBorder="1" applyAlignment="1">
      <alignment horizontal="left"/>
    </xf>
    <xf numFmtId="0" fontId="2" fillId="5" borderId="65" xfId="0" applyFont="1" applyFill="1" applyBorder="1" applyAlignment="1">
      <alignment horizontal="left"/>
    </xf>
    <xf numFmtId="0" fontId="5" fillId="2" borderId="37" xfId="0" applyFont="1" applyFill="1" applyBorder="1" applyAlignment="1">
      <alignment wrapText="1"/>
    </xf>
    <xf numFmtId="0" fontId="6" fillId="3" borderId="71" xfId="0" applyFont="1" applyFill="1" applyBorder="1" applyAlignment="1">
      <alignment horizontal="center"/>
    </xf>
    <xf numFmtId="0" fontId="6" fillId="3" borderId="103" xfId="0" applyFont="1" applyFill="1" applyBorder="1" applyAlignment="1">
      <alignment horizontal="center"/>
    </xf>
    <xf numFmtId="0" fontId="6" fillId="3" borderId="72" xfId="0" applyFont="1" applyFill="1" applyBorder="1" applyAlignment="1">
      <alignment horizontal="center"/>
    </xf>
    <xf numFmtId="0" fontId="5" fillId="2" borderId="4" xfId="0" applyFont="1" applyFill="1" applyBorder="1" applyAlignment="1">
      <alignment horizontal="left"/>
    </xf>
    <xf numFmtId="0" fontId="5" fillId="2" borderId="5" xfId="0" applyFont="1" applyFill="1" applyBorder="1" applyAlignment="1">
      <alignment horizontal="left"/>
    </xf>
    <xf numFmtId="0" fontId="5" fillId="2" borderId="65" xfId="0" applyFont="1" applyFill="1" applyBorder="1" applyAlignment="1">
      <alignment horizontal="left"/>
    </xf>
    <xf numFmtId="0" fontId="6" fillId="3" borderId="102" xfId="0" applyFont="1" applyFill="1" applyBorder="1" applyAlignment="1">
      <alignment horizontal="left"/>
    </xf>
    <xf numFmtId="0" fontId="6" fillId="3" borderId="10" xfId="0" applyFont="1" applyFill="1" applyBorder="1" applyAlignment="1">
      <alignment horizontal="left"/>
    </xf>
    <xf numFmtId="0" fontId="6" fillId="3" borderId="84" xfId="0" applyFont="1" applyFill="1" applyBorder="1" applyAlignment="1">
      <alignment horizontal="left"/>
    </xf>
    <xf numFmtId="165" fontId="20" fillId="2" borderId="28" xfId="1" applyNumberFormat="1" applyFont="1" applyFill="1" applyBorder="1"/>
    <xf numFmtId="165" fontId="20" fillId="2" borderId="28" xfId="0" applyNumberFormat="1" applyFont="1" applyFill="1" applyBorder="1"/>
  </cellXfs>
  <cellStyles count="6">
    <cellStyle name="Millares" xfId="3" builtinId="3"/>
    <cellStyle name="Moneda" xfId="1" builtinId="4"/>
    <cellStyle name="Moneda 2" xfId="2" xr:uid="{C552517D-3E27-427D-A33A-E0827233396A}"/>
    <cellStyle name="Moneda 2 2" xfId="5" xr:uid="{13166797-4087-4630-911C-C98CFA7B9539}"/>
    <cellStyle name="Moneda 3" xfId="4" xr:uid="{A0EFCAD6-21F6-409C-B006-B1C17AC14B54}"/>
    <cellStyle name="Normal" xfId="0" builtinId="0"/>
  </cellStyles>
  <dxfs count="0"/>
  <tableStyles count="0" defaultTableStyle="TableStyleMedium2" defaultPivotStyle="PivotStyleLight16"/>
  <colors>
    <mruColors>
      <color rgb="FF996633"/>
      <color rgb="FFCC990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C09DE-B66D-42AC-9CA6-DCF916402057}">
  <dimension ref="A1:E25"/>
  <sheetViews>
    <sheetView workbookViewId="0">
      <selection activeCell="C19" sqref="C19"/>
    </sheetView>
  </sheetViews>
  <sheetFormatPr baseColWidth="10" defaultRowHeight="15" x14ac:dyDescent="0.25"/>
  <cols>
    <col min="1" max="1" width="49.28515625" customWidth="1"/>
    <col min="2" max="2" width="16.140625" customWidth="1"/>
    <col min="3" max="3" width="18.140625" customWidth="1"/>
  </cols>
  <sheetData>
    <row r="1" spans="1:5" ht="15.75" thickBot="1" x14ac:dyDescent="0.3">
      <c r="A1" s="202" t="s">
        <v>127</v>
      </c>
      <c r="B1" s="202"/>
      <c r="C1" s="202"/>
    </row>
    <row r="2" spans="1:5" x14ac:dyDescent="0.25">
      <c r="A2" s="185" t="s">
        <v>86</v>
      </c>
      <c r="B2" s="186" t="s">
        <v>87</v>
      </c>
      <c r="C2" s="187" t="s">
        <v>88</v>
      </c>
    </row>
    <row r="3" spans="1:5" x14ac:dyDescent="0.25">
      <c r="A3" s="95" t="s">
        <v>89</v>
      </c>
      <c r="B3" s="188">
        <v>55606.559999999998</v>
      </c>
      <c r="C3" s="190">
        <v>14828.42</v>
      </c>
    </row>
    <row r="4" spans="1:5" x14ac:dyDescent="0.25">
      <c r="A4" s="95" t="s">
        <v>90</v>
      </c>
      <c r="B4" s="188">
        <v>239135.21</v>
      </c>
      <c r="C4" s="190">
        <v>63769.39</v>
      </c>
    </row>
    <row r="5" spans="1:5" x14ac:dyDescent="0.25">
      <c r="A5" s="95" t="s">
        <v>91</v>
      </c>
      <c r="B5" s="188">
        <v>60931.8</v>
      </c>
      <c r="C5" s="190">
        <v>16248.48</v>
      </c>
    </row>
    <row r="6" spans="1:5" x14ac:dyDescent="0.25">
      <c r="A6" s="95" t="s">
        <v>92</v>
      </c>
      <c r="B6" s="188">
        <v>68212.600000000006</v>
      </c>
      <c r="C6" s="190">
        <v>18190.03</v>
      </c>
    </row>
    <row r="7" spans="1:5" x14ac:dyDescent="0.25">
      <c r="A7" s="95" t="s">
        <v>53</v>
      </c>
      <c r="B7" s="188">
        <v>84829.18</v>
      </c>
      <c r="C7" s="190">
        <v>22621.119999999999</v>
      </c>
    </row>
    <row r="8" spans="1:5" x14ac:dyDescent="0.25">
      <c r="A8" s="95" t="s">
        <v>93</v>
      </c>
      <c r="B8" s="188">
        <v>59938.77</v>
      </c>
      <c r="C8" s="190">
        <v>15983.67</v>
      </c>
    </row>
    <row r="9" spans="1:5" ht="15.75" thickBot="1" x14ac:dyDescent="0.3">
      <c r="A9" s="189" t="s">
        <v>94</v>
      </c>
      <c r="B9" s="191">
        <v>568654.13</v>
      </c>
      <c r="C9" s="191">
        <v>151641.1</v>
      </c>
    </row>
    <row r="10" spans="1:5" ht="15.75" thickBot="1" x14ac:dyDescent="0.3"/>
    <row r="11" spans="1:5" ht="15.75" thickBot="1" x14ac:dyDescent="0.3">
      <c r="A11" s="106" t="s">
        <v>95</v>
      </c>
      <c r="B11" s="107" t="s">
        <v>2</v>
      </c>
      <c r="C11" s="108" t="s">
        <v>3</v>
      </c>
    </row>
    <row r="12" spans="1:5" x14ac:dyDescent="0.25">
      <c r="A12" s="96" t="s">
        <v>101</v>
      </c>
      <c r="B12" s="137">
        <v>162992</v>
      </c>
      <c r="C12" s="138">
        <v>44052</v>
      </c>
    </row>
    <row r="13" spans="1:5" ht="15.75" thickBot="1" x14ac:dyDescent="0.3">
      <c r="A13" s="97"/>
      <c r="B13" s="98"/>
      <c r="C13" s="99"/>
    </row>
    <row r="14" spans="1:5" ht="15.75" thickBot="1" x14ac:dyDescent="0.3">
      <c r="A14" s="189" t="s">
        <v>96</v>
      </c>
      <c r="B14" s="191">
        <v>162992</v>
      </c>
      <c r="C14" s="191">
        <v>44052</v>
      </c>
      <c r="E14" s="195"/>
    </row>
    <row r="16" spans="1:5" ht="15.75" thickBot="1" x14ac:dyDescent="0.3"/>
    <row r="17" spans="1:3" ht="15.75" thickBot="1" x14ac:dyDescent="0.3">
      <c r="A17" s="106" t="s">
        <v>97</v>
      </c>
      <c r="B17" s="107" t="s">
        <v>2</v>
      </c>
      <c r="C17" s="108" t="s">
        <v>3</v>
      </c>
    </row>
    <row r="18" spans="1:3" x14ac:dyDescent="0.25">
      <c r="A18" s="96" t="s">
        <v>98</v>
      </c>
      <c r="B18" s="188">
        <v>70097.5</v>
      </c>
      <c r="C18" s="100">
        <v>18692.62</v>
      </c>
    </row>
    <row r="19" spans="1:3" x14ac:dyDescent="0.25">
      <c r="A19" s="95" t="s">
        <v>99</v>
      </c>
      <c r="B19" s="188">
        <v>2000</v>
      </c>
      <c r="C19" s="101">
        <v>533.33000000000004</v>
      </c>
    </row>
    <row r="20" spans="1:3" x14ac:dyDescent="0.25">
      <c r="A20" s="95" t="s">
        <v>102</v>
      </c>
      <c r="B20" s="188">
        <v>3600</v>
      </c>
      <c r="C20" s="101">
        <v>960</v>
      </c>
    </row>
    <row r="21" spans="1:3" x14ac:dyDescent="0.25">
      <c r="A21" s="95"/>
      <c r="B21" s="188"/>
      <c r="C21" s="101"/>
    </row>
    <row r="22" spans="1:3" ht="15.75" thickBot="1" x14ac:dyDescent="0.3">
      <c r="A22" s="97"/>
      <c r="B22" s="98"/>
      <c r="C22" s="99"/>
    </row>
    <row r="23" spans="1:3" ht="15.75" thickBot="1" x14ac:dyDescent="0.3">
      <c r="A23" s="189" t="s">
        <v>100</v>
      </c>
      <c r="B23" s="191">
        <f>+SUM(B18:B22)</f>
        <v>75697.5</v>
      </c>
      <c r="C23" s="191">
        <v>20186</v>
      </c>
    </row>
    <row r="24" spans="1:3" ht="15.75" thickBot="1" x14ac:dyDescent="0.3">
      <c r="A24" s="92"/>
      <c r="B24" s="93"/>
      <c r="C24" s="93"/>
    </row>
    <row r="25" spans="1:3" ht="15.75" thickBot="1" x14ac:dyDescent="0.3">
      <c r="A25" s="94" t="s">
        <v>155</v>
      </c>
      <c r="B25" s="192">
        <f>+B23+B14+B9</f>
        <v>807343.63</v>
      </c>
      <c r="C25" s="193">
        <v>215879.1</v>
      </c>
    </row>
  </sheetData>
  <mergeCells count="1">
    <mergeCell ref="A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showGridLines="0" zoomScale="85" zoomScaleNormal="85" workbookViewId="0">
      <selection activeCell="D28" sqref="D28"/>
    </sheetView>
  </sheetViews>
  <sheetFormatPr baseColWidth="10" defaultColWidth="11.42578125" defaultRowHeight="15" x14ac:dyDescent="0.25"/>
  <cols>
    <col min="1" max="1" width="2.28515625" style="1" customWidth="1"/>
    <col min="2" max="2" width="40.28515625" style="1" bestFit="1" customWidth="1"/>
    <col min="3" max="3" width="19.7109375" style="1" customWidth="1"/>
    <col min="4" max="4" width="18.28515625" style="1" customWidth="1"/>
    <col min="5" max="5" width="18.7109375" style="1" customWidth="1"/>
    <col min="6" max="6" width="16.7109375" style="1" customWidth="1"/>
    <col min="7" max="7" width="15.42578125" style="1" customWidth="1"/>
    <col min="8" max="8" width="16" style="1" bestFit="1" customWidth="1"/>
    <col min="9" max="9" width="14.42578125" style="1" bestFit="1" customWidth="1"/>
    <col min="10" max="10" width="11.42578125" style="1"/>
    <col min="11" max="11" width="18.5703125" style="1" customWidth="1"/>
    <col min="12" max="16384" width="11.42578125" style="1"/>
  </cols>
  <sheetData>
    <row r="1" spans="2:7" ht="15.75" x14ac:dyDescent="0.25">
      <c r="B1" s="17" t="s">
        <v>34</v>
      </c>
      <c r="C1" s="206">
        <v>46022</v>
      </c>
      <c r="D1" s="207"/>
      <c r="E1" s="206">
        <v>45657</v>
      </c>
      <c r="F1" s="207"/>
    </row>
    <row r="2" spans="2:7" ht="5.25" customHeight="1" x14ac:dyDescent="0.25">
      <c r="B2" s="2"/>
      <c r="C2" s="2"/>
      <c r="D2" s="2"/>
      <c r="E2" s="2"/>
      <c r="F2" s="2"/>
    </row>
    <row r="3" spans="2:7" ht="18.75" customHeight="1" x14ac:dyDescent="0.25">
      <c r="B3" s="31" t="s">
        <v>43</v>
      </c>
      <c r="C3" s="32" t="s">
        <v>2</v>
      </c>
      <c r="D3" s="32" t="s">
        <v>3</v>
      </c>
      <c r="E3" s="32" t="s">
        <v>2</v>
      </c>
      <c r="F3" s="32" t="s">
        <v>3</v>
      </c>
    </row>
    <row r="4" spans="2:7" ht="15.75" x14ac:dyDescent="0.25">
      <c r="B4" s="204" t="s">
        <v>39</v>
      </c>
      <c r="C4" s="205"/>
      <c r="D4" s="205"/>
      <c r="E4" s="205"/>
      <c r="F4" s="205"/>
    </row>
    <row r="5" spans="2:7" ht="19.5" thickBot="1" x14ac:dyDescent="0.35">
      <c r="B5" s="33" t="s">
        <v>38</v>
      </c>
      <c r="C5" s="79" t="s">
        <v>78</v>
      </c>
      <c r="D5" s="80" t="s">
        <v>77</v>
      </c>
      <c r="E5" s="79" t="s">
        <v>78</v>
      </c>
      <c r="F5" s="80" t="s">
        <v>77</v>
      </c>
    </row>
    <row r="6" spans="2:7" ht="15.75" thickBot="1" x14ac:dyDescent="0.3">
      <c r="B6" s="21" t="s">
        <v>178</v>
      </c>
      <c r="C6" s="11">
        <v>349995.11</v>
      </c>
      <c r="D6" s="12">
        <f>+C6/3.68</f>
        <v>95107.366847826081</v>
      </c>
      <c r="E6" s="11">
        <v>241334.14</v>
      </c>
      <c r="F6" s="12">
        <v>62360.24289405685</v>
      </c>
      <c r="G6" s="194" t="s">
        <v>125</v>
      </c>
    </row>
    <row r="7" spans="2:7" ht="15.75" thickBot="1" x14ac:dyDescent="0.3">
      <c r="B7" s="34" t="s">
        <v>64</v>
      </c>
      <c r="C7" s="11">
        <v>1000</v>
      </c>
      <c r="D7" s="12">
        <f>+C7/3.68</f>
        <v>271.73913043478262</v>
      </c>
      <c r="E7" s="11">
        <v>1000</v>
      </c>
      <c r="F7" s="12">
        <f>+E7/3.87</f>
        <v>258.39793281653743</v>
      </c>
    </row>
    <row r="8" spans="2:7" ht="16.5" thickBot="1" x14ac:dyDescent="0.3">
      <c r="B8" s="35" t="s">
        <v>10</v>
      </c>
      <c r="C8" s="81">
        <f>+C7+C6</f>
        <v>350995.11</v>
      </c>
      <c r="D8" s="14">
        <f>+D6+D7</f>
        <v>95379.105978260865</v>
      </c>
      <c r="E8" s="81">
        <f>+E6+E7</f>
        <v>242334.14</v>
      </c>
      <c r="F8" s="14">
        <f>+F6+F7</f>
        <v>62618.640826873387</v>
      </c>
    </row>
    <row r="9" spans="2:7" ht="6.75" customHeight="1" thickBot="1" x14ac:dyDescent="0.3">
      <c r="B9" s="144"/>
      <c r="C9" s="145"/>
      <c r="D9" s="146"/>
      <c r="E9" s="145"/>
      <c r="F9" s="146"/>
    </row>
    <row r="10" spans="2:7" ht="16.5" thickBot="1" x14ac:dyDescent="0.3">
      <c r="B10" s="36" t="s">
        <v>65</v>
      </c>
      <c r="C10" s="77"/>
      <c r="D10" s="77"/>
      <c r="E10" s="77"/>
      <c r="F10" s="77"/>
    </row>
    <row r="11" spans="2:7" ht="19.5" customHeight="1" thickBot="1" x14ac:dyDescent="0.3">
      <c r="B11" s="37" t="s">
        <v>40</v>
      </c>
      <c r="C11" s="15"/>
      <c r="D11" s="15"/>
      <c r="E11" s="15"/>
      <c r="F11" s="15"/>
    </row>
    <row r="12" spans="2:7" ht="15.75" thickBot="1" x14ac:dyDescent="0.3">
      <c r="B12" s="21" t="s">
        <v>29</v>
      </c>
      <c r="C12" s="13">
        <v>19</v>
      </c>
      <c r="D12" s="12">
        <f>+C12/3.68</f>
        <v>5.1630434782608692</v>
      </c>
      <c r="E12" s="13">
        <v>19</v>
      </c>
      <c r="F12" s="12">
        <v>4.909560723514212</v>
      </c>
    </row>
    <row r="13" spans="2:7" ht="15.75" thickBot="1" x14ac:dyDescent="0.3">
      <c r="B13" s="21" t="s">
        <v>30</v>
      </c>
      <c r="C13" s="13">
        <v>1</v>
      </c>
      <c r="D13" s="12">
        <f>+C13/3.68</f>
        <v>0.27173913043478259</v>
      </c>
      <c r="E13" s="13">
        <v>1</v>
      </c>
      <c r="F13" s="12">
        <v>0.25839793281653745</v>
      </c>
    </row>
    <row r="14" spans="2:7" ht="15.75" thickBot="1" x14ac:dyDescent="0.3">
      <c r="B14" s="21" t="s">
        <v>33</v>
      </c>
      <c r="C14" s="13">
        <v>52512.15</v>
      </c>
      <c r="D14" s="12">
        <f>+C14/3.68</f>
        <v>14269.60597826087</v>
      </c>
      <c r="E14" s="13">
        <v>58128.59</v>
      </c>
      <c r="F14" s="12">
        <v>15020.307493540051</v>
      </c>
    </row>
    <row r="15" spans="2:7" ht="15.75" thickBot="1" x14ac:dyDescent="0.3">
      <c r="B15" s="21" t="s">
        <v>41</v>
      </c>
      <c r="C15" s="13">
        <v>17624.5</v>
      </c>
      <c r="D15" s="12">
        <f>+C15/3.68</f>
        <v>4789.266304347826</v>
      </c>
      <c r="E15" s="13">
        <v>25258.82</v>
      </c>
      <c r="F15" s="12">
        <v>6526.8268733850127</v>
      </c>
    </row>
    <row r="16" spans="2:7" ht="15.75" thickBot="1" x14ac:dyDescent="0.3">
      <c r="B16" s="37" t="s">
        <v>42</v>
      </c>
      <c r="C16" s="15"/>
      <c r="D16" s="15"/>
      <c r="E16" s="15"/>
      <c r="F16" s="15"/>
    </row>
    <row r="17" spans="2:9" ht="15.75" thickBot="1" x14ac:dyDescent="0.3">
      <c r="B17" s="142" t="s">
        <v>31</v>
      </c>
      <c r="C17" s="13">
        <v>290000</v>
      </c>
      <c r="D17" s="12">
        <f>+C17/3.68</f>
        <v>78804.34782608696</v>
      </c>
      <c r="E17" s="13">
        <v>290000</v>
      </c>
      <c r="F17" s="12">
        <v>74935.400516795868</v>
      </c>
      <c r="H17" s="10"/>
    </row>
    <row r="18" spans="2:9" ht="15.75" thickBot="1" x14ac:dyDescent="0.3">
      <c r="B18" s="143" t="s">
        <v>32</v>
      </c>
      <c r="C18" s="13">
        <v>931133.71</v>
      </c>
      <c r="D18" s="12">
        <f>+C18/3.68</f>
        <v>253025.46467391303</v>
      </c>
      <c r="E18" s="13">
        <v>985494.93</v>
      </c>
      <c r="F18" s="12">
        <v>254649.85271317829</v>
      </c>
    </row>
    <row r="19" spans="2:9" ht="15.75" thickBot="1" x14ac:dyDescent="0.3">
      <c r="B19" s="197" t="s">
        <v>150</v>
      </c>
      <c r="C19" s="13">
        <v>120062.04240000001</v>
      </c>
      <c r="D19" s="12">
        <f>+C19/3.68</f>
        <v>32625.555</v>
      </c>
      <c r="E19" s="182">
        <v>130502.22</v>
      </c>
      <c r="F19" s="12">
        <v>35270.870270270272</v>
      </c>
    </row>
    <row r="20" spans="2:9" ht="15.75" thickBot="1" x14ac:dyDescent="0.3">
      <c r="B20" s="198" t="s">
        <v>151</v>
      </c>
      <c r="C20" s="13">
        <v>730525.34</v>
      </c>
      <c r="D20" s="12">
        <f>+C20/3.68</f>
        <v>198512.32065217389</v>
      </c>
      <c r="E20" s="183">
        <v>578246.26</v>
      </c>
      <c r="F20" s="12">
        <v>156282.77297297298</v>
      </c>
    </row>
    <row r="21" spans="2:9" ht="16.5" thickBot="1" x14ac:dyDescent="0.3">
      <c r="B21" s="141" t="s">
        <v>15</v>
      </c>
      <c r="C21" s="18">
        <f>+SUM(C12:C20)</f>
        <v>2141877.7423999999</v>
      </c>
      <c r="D21" s="19">
        <f>+SUM(D12:D20)</f>
        <v>582031.99521739129</v>
      </c>
      <c r="E21" s="18">
        <f>+SUM(E12:E20)</f>
        <v>2067650.82</v>
      </c>
      <c r="F21" s="19">
        <f>+SUM(F12:F20)</f>
        <v>542691.19879879884</v>
      </c>
    </row>
    <row r="22" spans="2:9" ht="22.5" customHeight="1" x14ac:dyDescent="0.25">
      <c r="B22" s="23" t="s">
        <v>11</v>
      </c>
      <c r="C22" s="24">
        <f>+C21+C8</f>
        <v>2492872.8523999997</v>
      </c>
      <c r="D22" s="16">
        <f>+D8+D21</f>
        <v>677411.10119565215</v>
      </c>
      <c r="E22" s="24">
        <f t="shared" ref="E22" si="0">+E8+E21</f>
        <v>2309984.96</v>
      </c>
      <c r="F22" s="16">
        <f>+E22/3.87</f>
        <v>596895.33850129193</v>
      </c>
    </row>
    <row r="23" spans="2:9" ht="8.25" customHeight="1" x14ac:dyDescent="0.25">
      <c r="B23" s="2"/>
      <c r="C23" s="2"/>
      <c r="D23" s="2"/>
      <c r="E23" s="2"/>
      <c r="F23" s="2"/>
    </row>
    <row r="24" spans="2:9" ht="18" customHeight="1" x14ac:dyDescent="0.25">
      <c r="B24" s="25" t="s">
        <v>16</v>
      </c>
      <c r="C24" s="26"/>
      <c r="D24" s="26"/>
      <c r="E24" s="26"/>
      <c r="F24" s="26"/>
    </row>
    <row r="25" spans="2:9" ht="15" customHeight="1" thickBot="1" x14ac:dyDescent="0.3">
      <c r="B25" s="27" t="s">
        <v>43</v>
      </c>
      <c r="C25" s="206">
        <v>46022</v>
      </c>
      <c r="D25" s="207"/>
      <c r="E25" s="206">
        <v>45657</v>
      </c>
      <c r="F25" s="207"/>
    </row>
    <row r="26" spans="2:9" ht="15.75" thickBot="1" x14ac:dyDescent="0.3">
      <c r="B26" s="21" t="s">
        <v>12</v>
      </c>
      <c r="C26" s="147">
        <f>+C21</f>
        <v>2141877.7423999999</v>
      </c>
      <c r="D26" s="12">
        <f t="shared" ref="D26:D31" si="1">+C26/3.68</f>
        <v>582031.99521739129</v>
      </c>
      <c r="E26" s="13">
        <f>+E21</f>
        <v>2067650.82</v>
      </c>
      <c r="F26" s="12">
        <v>542691.19999999995</v>
      </c>
    </row>
    <row r="27" spans="2:9" ht="15.75" thickBot="1" x14ac:dyDescent="0.3">
      <c r="B27" s="21" t="s">
        <v>44</v>
      </c>
      <c r="C27" s="147">
        <v>232956.52</v>
      </c>
      <c r="D27" s="12">
        <f t="shared" si="1"/>
        <v>63303.40217391304</v>
      </c>
      <c r="E27" s="13">
        <v>248153.13</v>
      </c>
      <c r="F27" s="12">
        <v>64122.26</v>
      </c>
      <c r="G27" s="10"/>
    </row>
    <row r="28" spans="2:9" ht="15.75" thickBot="1" x14ac:dyDescent="0.3">
      <c r="B28" s="21" t="s">
        <v>45</v>
      </c>
      <c r="C28" s="147">
        <v>65323</v>
      </c>
      <c r="D28" s="12">
        <f t="shared" si="1"/>
        <v>17750.815217391304</v>
      </c>
      <c r="E28" s="13">
        <v>203034.37</v>
      </c>
      <c r="F28" s="12">
        <v>52463.66149870801</v>
      </c>
    </row>
    <row r="29" spans="2:9" ht="15.75" thickBot="1" x14ac:dyDescent="0.3">
      <c r="B29" s="21" t="s">
        <v>46</v>
      </c>
      <c r="C29" s="147">
        <v>186524.46</v>
      </c>
      <c r="D29" s="12">
        <f t="shared" si="1"/>
        <v>50685.994565217385</v>
      </c>
      <c r="E29" s="13">
        <v>0</v>
      </c>
      <c r="F29" s="12">
        <v>0</v>
      </c>
      <c r="G29" s="10"/>
    </row>
    <row r="30" spans="2:9" ht="15.75" thickBot="1" x14ac:dyDescent="0.3">
      <c r="B30" s="21" t="s">
        <v>47</v>
      </c>
      <c r="C30" s="82">
        <v>-163631.62</v>
      </c>
      <c r="D30" s="83">
        <f t="shared" si="1"/>
        <v>-44465.114130434777</v>
      </c>
      <c r="E30" s="82">
        <v>-241517.65</v>
      </c>
      <c r="F30" s="83">
        <v>-62407.66149870801</v>
      </c>
      <c r="G30" s="10"/>
      <c r="H30" s="10"/>
      <c r="I30" s="10"/>
    </row>
    <row r="31" spans="2:9" ht="15.75" thickBot="1" x14ac:dyDescent="0.3">
      <c r="B31" s="21" t="s">
        <v>35</v>
      </c>
      <c r="C31" s="147">
        <v>6766.7</v>
      </c>
      <c r="D31" s="12">
        <f t="shared" si="1"/>
        <v>1838.7771739130433</v>
      </c>
      <c r="E31" s="13">
        <v>6766.7</v>
      </c>
      <c r="F31" s="12">
        <v>1748.501291989664</v>
      </c>
      <c r="G31" s="10"/>
      <c r="I31" s="10"/>
    </row>
    <row r="32" spans="2:9" ht="15.75" thickBot="1" x14ac:dyDescent="0.3">
      <c r="B32" s="21"/>
      <c r="C32" s="147"/>
      <c r="D32" s="83"/>
      <c r="E32" s="13"/>
      <c r="F32" s="12"/>
      <c r="G32" s="10"/>
    </row>
    <row r="33" spans="1:6" ht="15.75" x14ac:dyDescent="0.25">
      <c r="B33" s="28" t="s">
        <v>36</v>
      </c>
      <c r="C33" s="29">
        <f>+SUM(C26:C32)</f>
        <v>2469816.8023999999</v>
      </c>
      <c r="D33" s="30">
        <f>+SUM(D26:D31)</f>
        <v>671145.87021739141</v>
      </c>
      <c r="E33" s="29">
        <f>SUM(E26:E32)</f>
        <v>2284087.3700000006</v>
      </c>
      <c r="F33" s="30">
        <f>+E33/3.87</f>
        <v>590203.45478036185</v>
      </c>
    </row>
    <row r="34" spans="1:6" ht="9.75" customHeight="1" x14ac:dyDescent="0.25"/>
    <row r="35" spans="1:6" ht="16.5" thickBot="1" x14ac:dyDescent="0.3">
      <c r="B35" s="20" t="s">
        <v>37</v>
      </c>
      <c r="C35" s="78"/>
      <c r="D35" s="78"/>
      <c r="E35" s="78"/>
      <c r="F35" s="78"/>
    </row>
    <row r="36" spans="1:6" ht="15.75" thickBot="1" x14ac:dyDescent="0.3">
      <c r="B36" s="21" t="s">
        <v>48</v>
      </c>
      <c r="C36" s="147">
        <v>4391.72</v>
      </c>
      <c r="D36" s="12">
        <f>+C36/3.68</f>
        <v>1193.4021739130435</v>
      </c>
      <c r="E36" s="13">
        <v>3907.3</v>
      </c>
      <c r="F36" s="12">
        <v>1009.6382428940568</v>
      </c>
    </row>
    <row r="37" spans="1:6" ht="15.75" thickBot="1" x14ac:dyDescent="0.3">
      <c r="B37" s="21" t="s">
        <v>13</v>
      </c>
      <c r="C37" s="147">
        <v>18664.330000000002</v>
      </c>
      <c r="D37" s="12">
        <f>+C37/3.68</f>
        <v>5071.828804347826</v>
      </c>
      <c r="E37" s="13">
        <v>21990.29</v>
      </c>
      <c r="F37" s="12">
        <v>5682.2454780361759</v>
      </c>
    </row>
    <row r="38" spans="1:6" ht="21.75" customHeight="1" thickBot="1" x14ac:dyDescent="0.3">
      <c r="A38" s="2"/>
      <c r="B38" s="22" t="s">
        <v>14</v>
      </c>
      <c r="C38" s="136">
        <f>+C37+C36</f>
        <v>23056.050000000003</v>
      </c>
      <c r="D38" s="16">
        <f>+D37+D36</f>
        <v>6265.23097826087</v>
      </c>
      <c r="E38" s="29">
        <f>+E36+E37</f>
        <v>25897.59</v>
      </c>
      <c r="F38" s="16">
        <v>6691.8837209302328</v>
      </c>
    </row>
    <row r="39" spans="1:6" ht="24" customHeight="1" x14ac:dyDescent="0.25">
      <c r="B39" s="23" t="s">
        <v>49</v>
      </c>
      <c r="C39" s="24">
        <f>+C38+C33</f>
        <v>2492872.8523999997</v>
      </c>
      <c r="D39" s="16">
        <f>+D38+D33</f>
        <v>677411.10119565227</v>
      </c>
      <c r="E39" s="24">
        <f>+E38+E33</f>
        <v>2309984.9600000004</v>
      </c>
      <c r="F39" s="16">
        <f>+F38+F33</f>
        <v>596895.33850129205</v>
      </c>
    </row>
    <row r="40" spans="1:6" x14ac:dyDescent="0.25">
      <c r="B40" s="2"/>
      <c r="C40" s="2"/>
      <c r="D40" s="2"/>
      <c r="E40" s="2"/>
      <c r="F40" s="2"/>
    </row>
    <row r="41" spans="1:6" ht="15" customHeight="1" x14ac:dyDescent="0.25">
      <c r="B41" s="203"/>
      <c r="C41" s="203"/>
      <c r="D41" s="203"/>
      <c r="E41" s="203"/>
      <c r="F41" s="203"/>
    </row>
    <row r="42" spans="1:6" x14ac:dyDescent="0.25">
      <c r="E42" s="10"/>
    </row>
    <row r="43" spans="1:6" x14ac:dyDescent="0.25">
      <c r="C43" s="10"/>
      <c r="D43" s="10"/>
    </row>
    <row r="44" spans="1:6" x14ac:dyDescent="0.25">
      <c r="C44" s="148"/>
    </row>
    <row r="46" spans="1:6" x14ac:dyDescent="0.25">
      <c r="C46" s="10"/>
    </row>
  </sheetData>
  <mergeCells count="6">
    <mergeCell ref="B41:F41"/>
    <mergeCell ref="B4:F4"/>
    <mergeCell ref="E1:F1"/>
    <mergeCell ref="E25:F25"/>
    <mergeCell ref="C1:D1"/>
    <mergeCell ref="C25:D25"/>
  </mergeCells>
  <pageMargins left="0.25" right="0.25" top="0.75" bottom="0.75" header="0.3" footer="0.3"/>
  <pageSetup paperSize="9" scale="8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7"/>
  <sheetViews>
    <sheetView showGridLines="0" topLeftCell="A27" zoomScale="84" zoomScaleNormal="84" workbookViewId="0">
      <selection activeCell="A31" sqref="A31:D60"/>
    </sheetView>
  </sheetViews>
  <sheetFormatPr baseColWidth="10" defaultColWidth="12.42578125" defaultRowHeight="15.75" x14ac:dyDescent="0.25"/>
  <cols>
    <col min="1" max="1" width="12.5703125" style="4" customWidth="1"/>
    <col min="2" max="2" width="39.140625" style="4" customWidth="1"/>
    <col min="3" max="3" width="29.28515625" style="4" customWidth="1"/>
    <col min="4" max="4" width="23.140625" style="4" customWidth="1"/>
    <col min="5" max="5" width="18" style="4" bestFit="1" customWidth="1"/>
    <col min="6" max="6" width="15" style="4" bestFit="1" customWidth="1"/>
    <col min="7" max="7" width="13.7109375" style="4" bestFit="1" customWidth="1"/>
    <col min="8" max="16384" width="12.42578125" style="4"/>
  </cols>
  <sheetData>
    <row r="1" spans="1:6" ht="21" customHeight="1" thickBot="1" x14ac:dyDescent="0.4">
      <c r="A1" s="223" t="s">
        <v>0</v>
      </c>
      <c r="B1" s="224"/>
      <c r="C1" s="224"/>
      <c r="D1" s="225"/>
    </row>
    <row r="2" spans="1:6" ht="16.5" thickBot="1" x14ac:dyDescent="0.3">
      <c r="A2" s="229" t="s">
        <v>1</v>
      </c>
      <c r="B2" s="230"/>
      <c r="C2" s="38" t="s">
        <v>2</v>
      </c>
      <c r="D2" s="39" t="s">
        <v>3</v>
      </c>
    </row>
    <row r="3" spans="1:6" x14ac:dyDescent="0.25">
      <c r="A3" s="226" t="s">
        <v>72</v>
      </c>
      <c r="B3" s="227"/>
      <c r="C3" s="227"/>
      <c r="D3" s="228"/>
    </row>
    <row r="4" spans="1:6" x14ac:dyDescent="0.25">
      <c r="A4" s="51" t="s">
        <v>17</v>
      </c>
      <c r="B4" s="51"/>
      <c r="C4" s="56">
        <v>214390.54</v>
      </c>
      <c r="D4" s="53">
        <v>57477.37</v>
      </c>
    </row>
    <row r="5" spans="1:6" x14ac:dyDescent="0.25">
      <c r="A5" s="51" t="s">
        <v>5</v>
      </c>
      <c r="B5" s="51"/>
      <c r="C5" s="56">
        <v>142927.03</v>
      </c>
      <c r="D5" s="53">
        <v>38318.239999999998</v>
      </c>
    </row>
    <row r="6" spans="1:6" ht="21" customHeight="1" x14ac:dyDescent="0.25">
      <c r="A6" s="57" t="s">
        <v>66</v>
      </c>
      <c r="B6" s="58"/>
      <c r="C6" s="55">
        <f>+SUM(C4:C5)</f>
        <v>357317.57</v>
      </c>
      <c r="D6" s="59">
        <f>+SUM(D4:D5)</f>
        <v>95795.61</v>
      </c>
    </row>
    <row r="7" spans="1:6" ht="21" customHeight="1" x14ac:dyDescent="0.25">
      <c r="A7" s="6"/>
      <c r="B7" s="6"/>
      <c r="C7" s="5"/>
      <c r="D7" s="7"/>
    </row>
    <row r="8" spans="1:6" ht="23.25" customHeight="1" x14ac:dyDescent="0.25">
      <c r="A8" s="210" t="s">
        <v>67</v>
      </c>
      <c r="B8" s="210"/>
      <c r="C8" s="210"/>
      <c r="D8" s="210"/>
    </row>
    <row r="9" spans="1:6" x14ac:dyDescent="0.25">
      <c r="A9" s="51" t="s">
        <v>51</v>
      </c>
      <c r="B9" s="51"/>
      <c r="C9" s="52">
        <v>101645.12</v>
      </c>
      <c r="D9" s="53">
        <v>27175.11</v>
      </c>
      <c r="E9" s="3"/>
    </row>
    <row r="10" spans="1:6" x14ac:dyDescent="0.25">
      <c r="A10" s="51" t="s">
        <v>52</v>
      </c>
      <c r="B10" s="51"/>
      <c r="C10" s="56">
        <v>78720.649999999994</v>
      </c>
      <c r="D10" s="53">
        <v>21046.19</v>
      </c>
      <c r="E10" s="3"/>
    </row>
    <row r="11" spans="1:6" x14ac:dyDescent="0.25">
      <c r="A11" s="51" t="s">
        <v>7</v>
      </c>
      <c r="B11" s="51"/>
      <c r="C11" s="56">
        <v>67167.23</v>
      </c>
      <c r="D11" s="53">
        <v>17957.349999999999</v>
      </c>
      <c r="E11" s="3"/>
    </row>
    <row r="12" spans="1:6" x14ac:dyDescent="0.25">
      <c r="A12" s="51" t="s">
        <v>53</v>
      </c>
      <c r="B12" s="51"/>
      <c r="C12" s="56">
        <v>59925.88</v>
      </c>
      <c r="D12" s="53">
        <v>16021.35</v>
      </c>
      <c r="E12" s="3"/>
    </row>
    <row r="13" spans="1:6" x14ac:dyDescent="0.25">
      <c r="A13" s="231"/>
      <c r="B13" s="232"/>
      <c r="C13" s="52"/>
      <c r="D13" s="53"/>
      <c r="E13" s="6"/>
    </row>
    <row r="14" spans="1:6" x14ac:dyDescent="0.25">
      <c r="A14" s="17" t="s">
        <v>68</v>
      </c>
      <c r="B14" s="17"/>
      <c r="C14" s="18">
        <f>+SUM(C9:C12)</f>
        <v>307458.88</v>
      </c>
      <c r="D14" s="19">
        <v>82200</v>
      </c>
      <c r="F14" s="3"/>
    </row>
    <row r="15" spans="1:6" x14ac:dyDescent="0.25">
      <c r="A15" s="6"/>
      <c r="B15" s="6"/>
      <c r="C15" s="5"/>
      <c r="D15" s="7"/>
      <c r="F15" s="3"/>
    </row>
    <row r="16" spans="1:6" x14ac:dyDescent="0.25">
      <c r="A16" s="210" t="s">
        <v>54</v>
      </c>
      <c r="B16" s="210"/>
      <c r="C16" s="210"/>
      <c r="D16" s="210"/>
      <c r="F16" s="3"/>
    </row>
    <row r="17" spans="1:6" ht="15" customHeight="1" x14ac:dyDescent="0.25">
      <c r="A17" s="60" t="s">
        <v>79</v>
      </c>
      <c r="B17" s="61"/>
      <c r="C17" s="52">
        <v>92191.52</v>
      </c>
      <c r="D17" s="53">
        <v>25052.04</v>
      </c>
      <c r="F17" s="3"/>
    </row>
    <row r="18" spans="1:6" x14ac:dyDescent="0.25">
      <c r="A18" s="115" t="s">
        <v>69</v>
      </c>
      <c r="B18" s="116"/>
      <c r="C18" s="117">
        <f>SUM(C17)</f>
        <v>92191.52</v>
      </c>
      <c r="D18" s="118">
        <f>SUM(D17)</f>
        <v>25052.04</v>
      </c>
    </row>
    <row r="19" spans="1:6" x14ac:dyDescent="0.25">
      <c r="A19" s="6"/>
      <c r="B19" s="6"/>
      <c r="C19" s="5"/>
      <c r="D19" s="5"/>
    </row>
    <row r="20" spans="1:6" x14ac:dyDescent="0.25">
      <c r="A20" s="210" t="s">
        <v>55</v>
      </c>
      <c r="B20" s="210"/>
      <c r="C20" s="210"/>
      <c r="D20" s="210"/>
    </row>
    <row r="21" spans="1:6" ht="16.5" thickBot="1" x14ac:dyDescent="0.3">
      <c r="A21" s="40" t="s">
        <v>80</v>
      </c>
      <c r="B21" s="54"/>
      <c r="C21" s="52">
        <v>787285</v>
      </c>
      <c r="D21" s="114">
        <v>25004</v>
      </c>
    </row>
    <row r="22" spans="1:6" ht="16.5" thickBot="1" x14ac:dyDescent="0.3">
      <c r="A22" s="41" t="s">
        <v>70</v>
      </c>
      <c r="B22" s="119"/>
      <c r="C22" s="120">
        <f>SUM(C21)</f>
        <v>787285</v>
      </c>
      <c r="D22" s="121">
        <f>+D21</f>
        <v>25004</v>
      </c>
    </row>
    <row r="23" spans="1:6" x14ac:dyDescent="0.25">
      <c r="A23" s="6"/>
      <c r="B23" s="6"/>
      <c r="C23" s="5"/>
      <c r="D23" s="5"/>
    </row>
    <row r="24" spans="1:6" x14ac:dyDescent="0.25">
      <c r="A24" s="210" t="s">
        <v>56</v>
      </c>
      <c r="B24" s="210"/>
      <c r="C24" s="210"/>
      <c r="D24" s="210"/>
    </row>
    <row r="25" spans="1:6" x14ac:dyDescent="0.25">
      <c r="A25" s="218" t="s">
        <v>17</v>
      </c>
      <c r="B25" s="219"/>
      <c r="C25" s="52">
        <v>1877.85</v>
      </c>
      <c r="D25" s="53">
        <v>482.73778920308479</v>
      </c>
    </row>
    <row r="26" spans="1:6" x14ac:dyDescent="0.25">
      <c r="A26" s="214" t="s">
        <v>81</v>
      </c>
      <c r="B26" s="215"/>
      <c r="C26" s="84">
        <v>28534.43</v>
      </c>
      <c r="D26" s="85">
        <v>7588.9441489361707</v>
      </c>
    </row>
    <row r="27" spans="1:6" x14ac:dyDescent="0.25">
      <c r="A27" s="216" t="s">
        <v>82</v>
      </c>
      <c r="B27" s="217"/>
      <c r="C27" s="52">
        <v>33518.660000000003</v>
      </c>
      <c r="D27" s="53">
        <v>8938.3093333333345</v>
      </c>
    </row>
    <row r="28" spans="1:6" ht="18.75" customHeight="1" x14ac:dyDescent="0.25">
      <c r="A28" s="42" t="s">
        <v>71</v>
      </c>
      <c r="B28" s="17"/>
      <c r="C28" s="18">
        <f>+SUM(C25:C27)</f>
        <v>63930.94</v>
      </c>
      <c r="D28" s="122">
        <f>+D26+D27+D25</f>
        <v>17009.991271472591</v>
      </c>
    </row>
    <row r="29" spans="1:6" ht="26.25" customHeight="1" x14ac:dyDescent="0.3">
      <c r="A29" s="43" t="s">
        <v>18</v>
      </c>
      <c r="B29" s="44"/>
      <c r="C29" s="45">
        <f>+C28+C14+C18+C22+C6</f>
        <v>1608183.9100000001</v>
      </c>
      <c r="D29" s="46">
        <f>+D28+D22+D18+D14+D6</f>
        <v>245061.64127147262</v>
      </c>
    </row>
    <row r="30" spans="1:6" x14ac:dyDescent="0.25">
      <c r="A30" s="6"/>
      <c r="B30" s="6"/>
      <c r="C30" s="5"/>
      <c r="D30" s="7"/>
    </row>
    <row r="31" spans="1:6" ht="29.25" customHeight="1" thickBot="1" x14ac:dyDescent="0.4">
      <c r="A31" s="212" t="s">
        <v>9</v>
      </c>
      <c r="B31" s="212"/>
      <c r="C31" s="212"/>
      <c r="D31" s="212"/>
    </row>
    <row r="32" spans="1:6" ht="17.25" customHeight="1" thickBot="1" x14ac:dyDescent="0.35">
      <c r="A32" s="91" t="s">
        <v>1</v>
      </c>
      <c r="B32" s="88"/>
      <c r="C32" s="89" t="s">
        <v>74</v>
      </c>
      <c r="D32" s="90" t="s">
        <v>73</v>
      </c>
    </row>
    <row r="33" spans="1:7" ht="18.75" x14ac:dyDescent="0.3">
      <c r="A33" s="213" t="s">
        <v>4</v>
      </c>
      <c r="B33" s="213"/>
      <c r="C33" s="213"/>
      <c r="D33" s="213"/>
    </row>
    <row r="34" spans="1:7" ht="16.5" customHeight="1" x14ac:dyDescent="0.3">
      <c r="A34" s="86" t="s">
        <v>50</v>
      </c>
      <c r="B34" s="87"/>
      <c r="C34" s="66">
        <v>358490.66499999998</v>
      </c>
      <c r="D34" s="53">
        <f>C34/3.87</f>
        <v>92633.246770025828</v>
      </c>
    </row>
    <row r="35" spans="1:7" x14ac:dyDescent="0.25">
      <c r="A35" s="67" t="s">
        <v>57</v>
      </c>
      <c r="B35" s="67"/>
      <c r="C35" s="66">
        <f>35088+12</f>
        <v>35100</v>
      </c>
      <c r="D35" s="53">
        <f t="shared" ref="D35:D53" si="0">C35/3.87</f>
        <v>9069.7674418604656</v>
      </c>
    </row>
    <row r="36" spans="1:7" x14ac:dyDescent="0.25">
      <c r="A36" s="220" t="s">
        <v>83</v>
      </c>
      <c r="B36" s="221"/>
      <c r="C36" s="66">
        <v>5823.73</v>
      </c>
      <c r="D36" s="53">
        <f t="shared" si="0"/>
        <v>1504.8397932816536</v>
      </c>
    </row>
    <row r="37" spans="1:7" x14ac:dyDescent="0.25">
      <c r="A37" s="208" t="s">
        <v>19</v>
      </c>
      <c r="B37" s="208"/>
      <c r="C37" s="66">
        <v>2747.17</v>
      </c>
      <c r="D37" s="53">
        <f t="shared" si="0"/>
        <v>709.86304909560727</v>
      </c>
    </row>
    <row r="38" spans="1:7" x14ac:dyDescent="0.25">
      <c r="A38" s="208" t="s">
        <v>58</v>
      </c>
      <c r="B38" s="208"/>
      <c r="C38" s="66">
        <f>160784.38+1000+600</f>
        <v>162384.38</v>
      </c>
      <c r="D38" s="53">
        <f t="shared" si="0"/>
        <v>41959.788113695089</v>
      </c>
      <c r="F38" s="9"/>
    </row>
    <row r="39" spans="1:7" x14ac:dyDescent="0.25">
      <c r="A39" s="67" t="s">
        <v>104</v>
      </c>
      <c r="B39" s="67"/>
      <c r="C39" s="66">
        <f>188350.5+ 578246.26+150-2249.6</f>
        <v>764497.16</v>
      </c>
      <c r="D39" s="53">
        <f t="shared" si="0"/>
        <v>197544.4857881137</v>
      </c>
    </row>
    <row r="40" spans="1:7" x14ac:dyDescent="0.25">
      <c r="A40" s="67" t="s">
        <v>20</v>
      </c>
      <c r="B40" s="67"/>
      <c r="C40" s="66">
        <v>18200</v>
      </c>
      <c r="D40" s="53">
        <f t="shared" si="0"/>
        <v>4702.8423772609822</v>
      </c>
    </row>
    <row r="41" spans="1:7" x14ac:dyDescent="0.25">
      <c r="A41" s="208" t="s">
        <v>59</v>
      </c>
      <c r="B41" s="208"/>
      <c r="C41" s="66">
        <v>13294</v>
      </c>
      <c r="D41" s="53">
        <f t="shared" si="0"/>
        <v>3435.1421188630488</v>
      </c>
    </row>
    <row r="42" spans="1:7" x14ac:dyDescent="0.25">
      <c r="A42" s="220" t="s">
        <v>84</v>
      </c>
      <c r="B42" s="221"/>
      <c r="C42" s="66">
        <v>1652.54</v>
      </c>
      <c r="D42" s="53">
        <f t="shared" si="0"/>
        <v>427.01291989664082</v>
      </c>
    </row>
    <row r="43" spans="1:7" x14ac:dyDescent="0.25">
      <c r="A43" s="208" t="s">
        <v>21</v>
      </c>
      <c r="B43" s="208"/>
      <c r="C43" s="66">
        <f>57917.07</f>
        <v>57917.07</v>
      </c>
      <c r="D43" s="53">
        <f t="shared" si="0"/>
        <v>14965.651162790697</v>
      </c>
      <c r="G43" s="74"/>
    </row>
    <row r="44" spans="1:7" ht="29.25" customHeight="1" x14ac:dyDescent="0.25">
      <c r="A44" s="222" t="s">
        <v>28</v>
      </c>
      <c r="B44" s="222"/>
      <c r="C44" s="66">
        <f>8310.39+6052.88+158+50.85+25+990.66-3000</f>
        <v>12587.78</v>
      </c>
      <c r="D44" s="53">
        <f t="shared" si="0"/>
        <v>3252.6563307493543</v>
      </c>
    </row>
    <row r="45" spans="1:7" x14ac:dyDescent="0.25">
      <c r="A45" s="67" t="s">
        <v>27</v>
      </c>
      <c r="B45" s="67"/>
      <c r="C45" s="66">
        <f>233.62+15804.1+114.9+15+8+309+38</f>
        <v>16522.620000000003</v>
      </c>
      <c r="D45" s="53">
        <f t="shared" si="0"/>
        <v>4269.4108527131784</v>
      </c>
    </row>
    <row r="46" spans="1:7" x14ac:dyDescent="0.25">
      <c r="A46" s="67" t="s">
        <v>26</v>
      </c>
      <c r="B46" s="67"/>
      <c r="C46" s="66">
        <f>2294.09+227.96+152.29</f>
        <v>2674.34</v>
      </c>
      <c r="D46" s="53">
        <f t="shared" si="0"/>
        <v>691.0439276485788</v>
      </c>
      <c r="F46" s="74"/>
    </row>
    <row r="47" spans="1:7" x14ac:dyDescent="0.25">
      <c r="A47" s="67" t="s">
        <v>24</v>
      </c>
      <c r="B47" s="67"/>
      <c r="C47" s="66">
        <f>15667.07-1000</f>
        <v>14667.07</v>
      </c>
      <c r="D47" s="53">
        <f t="shared" si="0"/>
        <v>3789.940568475452</v>
      </c>
    </row>
    <row r="48" spans="1:7" x14ac:dyDescent="0.25">
      <c r="A48" s="208" t="s">
        <v>25</v>
      </c>
      <c r="B48" s="208"/>
      <c r="C48" s="66">
        <v>347.82</v>
      </c>
      <c r="D48" s="53">
        <f t="shared" si="0"/>
        <v>89.875968992248062</v>
      </c>
    </row>
    <row r="49" spans="1:5" x14ac:dyDescent="0.25">
      <c r="A49" s="67" t="s">
        <v>60</v>
      </c>
      <c r="B49" s="67"/>
      <c r="C49" s="66">
        <v>1253.31</v>
      </c>
      <c r="D49" s="53">
        <f t="shared" si="0"/>
        <v>323.85271317829455</v>
      </c>
    </row>
    <row r="50" spans="1:5" x14ac:dyDescent="0.25">
      <c r="A50" s="67" t="s">
        <v>85</v>
      </c>
      <c r="B50" s="67"/>
      <c r="C50" s="66">
        <v>33090.129999999997</v>
      </c>
      <c r="D50" s="53">
        <f t="shared" si="0"/>
        <v>8550.4211886304893</v>
      </c>
    </row>
    <row r="51" spans="1:5" x14ac:dyDescent="0.25">
      <c r="A51" s="208" t="s">
        <v>22</v>
      </c>
      <c r="B51" s="208"/>
      <c r="C51" s="66">
        <f>2169.35+885.26+15+69.3</f>
        <v>3138.91</v>
      </c>
      <c r="D51" s="53">
        <f t="shared" si="0"/>
        <v>811.0878552971576</v>
      </c>
    </row>
    <row r="52" spans="1:5" x14ac:dyDescent="0.25">
      <c r="A52" s="208" t="s">
        <v>61</v>
      </c>
      <c r="B52" s="208"/>
      <c r="C52" s="66">
        <v>1147.6500000000001</v>
      </c>
      <c r="D52" s="53">
        <f t="shared" si="0"/>
        <v>296.55038759689921</v>
      </c>
    </row>
    <row r="53" spans="1:5" x14ac:dyDescent="0.25">
      <c r="A53" s="72" t="s">
        <v>76</v>
      </c>
      <c r="B53" s="73"/>
      <c r="C53" s="66">
        <v>20503.52</v>
      </c>
      <c r="D53" s="53">
        <f t="shared" si="0"/>
        <v>5298.0671834625318</v>
      </c>
    </row>
    <row r="54" spans="1:5" ht="21" customHeight="1" x14ac:dyDescent="0.25">
      <c r="A54" s="62" t="s">
        <v>6</v>
      </c>
      <c r="B54" s="63"/>
      <c r="C54" s="64">
        <f>SUM(C34:C53)</f>
        <v>1526039.8650000002</v>
      </c>
      <c r="D54" s="65">
        <f>C54/3.87</f>
        <v>394325.54651162797</v>
      </c>
    </row>
    <row r="55" spans="1:5" x14ac:dyDescent="0.25">
      <c r="A55" s="209" t="s">
        <v>8</v>
      </c>
      <c r="B55" s="210"/>
      <c r="C55" s="210"/>
      <c r="D55" s="211"/>
    </row>
    <row r="56" spans="1:5" ht="15.75" customHeight="1" x14ac:dyDescent="0.25">
      <c r="A56" s="67" t="s">
        <v>23</v>
      </c>
      <c r="B56" s="51"/>
      <c r="C56" s="66"/>
      <c r="D56" s="53"/>
      <c r="E56" s="74"/>
    </row>
    <row r="57" spans="1:5" ht="15.75" customHeight="1" x14ac:dyDescent="0.25">
      <c r="A57" s="75" t="s">
        <v>62</v>
      </c>
      <c r="B57" s="76"/>
      <c r="C57" s="66">
        <v>52869.48</v>
      </c>
      <c r="D57" s="53">
        <f>+C57/3.87</f>
        <v>13661.364341085271</v>
      </c>
      <c r="E57" s="74"/>
    </row>
    <row r="58" spans="1:5" ht="15" customHeight="1" x14ac:dyDescent="0.25">
      <c r="A58" s="68" t="s">
        <v>6</v>
      </c>
      <c r="B58" s="69"/>
      <c r="C58" s="70">
        <f>SUM(C56:C57)</f>
        <v>52869.48</v>
      </c>
      <c r="D58" s="71">
        <f>C58/3.87</f>
        <v>13661.364341085271</v>
      </c>
      <c r="E58" s="3"/>
    </row>
    <row r="59" spans="1:5" ht="15.75" customHeight="1" x14ac:dyDescent="0.3">
      <c r="A59" s="49" t="s">
        <v>75</v>
      </c>
      <c r="B59" s="47"/>
      <c r="C59" s="48">
        <f>C54+C58</f>
        <v>1578909.3450000002</v>
      </c>
      <c r="D59" s="50">
        <f>C59/3.87</f>
        <v>407986.91085271322</v>
      </c>
    </row>
    <row r="60" spans="1:5" ht="22.5" customHeight="1" x14ac:dyDescent="0.3">
      <c r="A60" s="43" t="s">
        <v>63</v>
      </c>
      <c r="B60" s="44"/>
      <c r="C60" s="45">
        <f>+C29-C59</f>
        <v>29274.564999999944</v>
      </c>
      <c r="D60" s="46">
        <f>C60/3.87</f>
        <v>7564.4870801033449</v>
      </c>
      <c r="E60" s="9"/>
    </row>
    <row r="61" spans="1:5" x14ac:dyDescent="0.25">
      <c r="C61" s="3"/>
      <c r="E61" s="9"/>
    </row>
    <row r="62" spans="1:5" ht="23.25" x14ac:dyDescent="0.35">
      <c r="C62" s="8"/>
      <c r="E62" s="74"/>
    </row>
    <row r="65" spans="3:6" x14ac:dyDescent="0.25">
      <c r="C65" s="3"/>
      <c r="F65" s="74"/>
    </row>
    <row r="67" spans="3:6" x14ac:dyDescent="0.25">
      <c r="C67" s="9"/>
    </row>
  </sheetData>
  <mergeCells count="24">
    <mergeCell ref="A51:B51"/>
    <mergeCell ref="A20:D20"/>
    <mergeCell ref="A16:D16"/>
    <mergeCell ref="A1:D1"/>
    <mergeCell ref="A3:D3"/>
    <mergeCell ref="A8:D8"/>
    <mergeCell ref="A2:B2"/>
    <mergeCell ref="A13:B13"/>
    <mergeCell ref="A52:B52"/>
    <mergeCell ref="A55:D55"/>
    <mergeCell ref="A24:D24"/>
    <mergeCell ref="A31:D31"/>
    <mergeCell ref="A33:D33"/>
    <mergeCell ref="A43:B43"/>
    <mergeCell ref="A41:B41"/>
    <mergeCell ref="A37:B37"/>
    <mergeCell ref="A38:B38"/>
    <mergeCell ref="A48:B48"/>
    <mergeCell ref="A26:B26"/>
    <mergeCell ref="A27:B27"/>
    <mergeCell ref="A25:B25"/>
    <mergeCell ref="A36:B36"/>
    <mergeCell ref="A42:B42"/>
    <mergeCell ref="A44:B44"/>
  </mergeCells>
  <pageMargins left="0.7" right="0.7" top="0.75" bottom="0.75" header="0.3" footer="0.3"/>
  <pageSetup paperSize="9" scale="7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63452-99A7-4B3F-85C9-6B106695A769}">
  <dimension ref="B1:M80"/>
  <sheetViews>
    <sheetView zoomScale="80" zoomScaleNormal="80" workbookViewId="0">
      <selection activeCell="J20" sqref="J20"/>
    </sheetView>
  </sheetViews>
  <sheetFormatPr baseColWidth="10" defaultColWidth="12.42578125" defaultRowHeight="15.75" x14ac:dyDescent="0.25"/>
  <cols>
    <col min="1" max="1" width="1.28515625" style="4" customWidth="1"/>
    <col min="2" max="3" width="12.42578125" style="4" hidden="1" customWidth="1"/>
    <col min="4" max="4" width="34.7109375" style="4" customWidth="1"/>
    <col min="5" max="5" width="16.140625" style="4" customWidth="1"/>
    <col min="6" max="6" width="12.42578125" style="4" customWidth="1"/>
    <col min="7" max="7" width="22.140625" style="4" customWidth="1"/>
    <col min="8" max="9" width="23.140625" style="4" customWidth="1"/>
    <col min="10" max="10" width="18" style="4" bestFit="1" customWidth="1"/>
    <col min="11" max="11" width="16" style="4" bestFit="1" customWidth="1"/>
    <col min="12" max="12" width="12.42578125" style="4"/>
    <col min="13" max="13" width="16" style="4" bestFit="1" customWidth="1"/>
    <col min="14" max="16384" width="12.42578125" style="4"/>
  </cols>
  <sheetData>
    <row r="1" spans="4:10" ht="21" customHeight="1" thickBot="1" x14ac:dyDescent="0.4">
      <c r="D1" s="250" t="s">
        <v>0</v>
      </c>
      <c r="E1" s="251"/>
      <c r="F1" s="252"/>
      <c r="G1" s="252"/>
      <c r="H1" s="252"/>
      <c r="I1" s="253"/>
    </row>
    <row r="2" spans="4:10" x14ac:dyDescent="0.25">
      <c r="D2" s="124" t="s">
        <v>120</v>
      </c>
      <c r="E2" s="261" t="s">
        <v>140</v>
      </c>
      <c r="F2" s="262"/>
      <c r="G2" s="263"/>
      <c r="H2" s="125" t="s">
        <v>2</v>
      </c>
      <c r="I2" s="126" t="s">
        <v>3</v>
      </c>
    </row>
    <row r="3" spans="4:10" ht="9" customHeight="1" x14ac:dyDescent="0.25">
      <c r="D3" s="6"/>
      <c r="E3" s="123"/>
      <c r="F3" s="123"/>
      <c r="G3" s="123"/>
      <c r="H3" s="5"/>
      <c r="I3" s="7"/>
    </row>
    <row r="4" spans="4:10" ht="18.75" x14ac:dyDescent="0.3">
      <c r="D4" s="153" t="s">
        <v>128</v>
      </c>
      <c r="E4" s="153"/>
      <c r="F4" s="153"/>
      <c r="G4" s="153"/>
      <c r="H4" s="153"/>
      <c r="I4" s="153"/>
    </row>
    <row r="5" spans="4:10" x14ac:dyDescent="0.25">
      <c r="D5" s="51" t="s">
        <v>122</v>
      </c>
      <c r="E5" s="244" t="s">
        <v>17</v>
      </c>
      <c r="F5" s="244"/>
      <c r="G5" s="244"/>
      <c r="H5" s="270">
        <v>117504.68</v>
      </c>
      <c r="I5" s="53">
        <v>55936.7</v>
      </c>
    </row>
    <row r="6" spans="4:10" x14ac:dyDescent="0.25">
      <c r="D6" s="51" t="s">
        <v>124</v>
      </c>
      <c r="E6" s="244" t="s">
        <v>51</v>
      </c>
      <c r="F6" s="244"/>
      <c r="G6" s="244"/>
      <c r="H6" s="271">
        <v>115811.72</v>
      </c>
      <c r="I6" s="53">
        <v>31470.57608695652</v>
      </c>
      <c r="J6" s="3"/>
    </row>
    <row r="7" spans="4:10" x14ac:dyDescent="0.25">
      <c r="D7" s="51" t="s">
        <v>124</v>
      </c>
      <c r="E7" s="244" t="s">
        <v>52</v>
      </c>
      <c r="F7" s="244"/>
      <c r="G7" s="244"/>
      <c r="H7" s="270">
        <v>60562.38</v>
      </c>
      <c r="I7" s="53">
        <v>16457.168478260868</v>
      </c>
      <c r="J7" s="3"/>
    </row>
    <row r="8" spans="4:10" x14ac:dyDescent="0.25">
      <c r="D8" s="51" t="s">
        <v>124</v>
      </c>
      <c r="E8" s="244" t="s">
        <v>7</v>
      </c>
      <c r="F8" s="244"/>
      <c r="G8" s="244"/>
      <c r="H8" s="270">
        <v>53379</v>
      </c>
      <c r="I8" s="53">
        <v>14505.16304347826</v>
      </c>
      <c r="J8" s="3"/>
    </row>
    <row r="9" spans="4:10" x14ac:dyDescent="0.25">
      <c r="D9" s="51" t="s">
        <v>124</v>
      </c>
      <c r="E9" s="244" t="s">
        <v>53</v>
      </c>
      <c r="F9" s="244"/>
      <c r="G9" s="244"/>
      <c r="H9" s="270">
        <v>74985.02</v>
      </c>
      <c r="I9" s="53">
        <v>20376.364130434784</v>
      </c>
      <c r="J9" s="3"/>
    </row>
    <row r="10" spans="4:10" x14ac:dyDescent="0.25">
      <c r="D10" s="51" t="s">
        <v>153</v>
      </c>
      <c r="E10" s="244" t="s">
        <v>17</v>
      </c>
      <c r="F10" s="244"/>
      <c r="G10" s="244"/>
      <c r="H10" s="52">
        <f>61756.36+7013.76</f>
        <v>68770.12</v>
      </c>
      <c r="I10" s="53">
        <v>10000</v>
      </c>
      <c r="J10" s="3"/>
    </row>
    <row r="11" spans="4:10" x14ac:dyDescent="0.25">
      <c r="D11" s="51" t="s">
        <v>200</v>
      </c>
      <c r="E11" s="60" t="s">
        <v>17</v>
      </c>
      <c r="F11" s="177"/>
      <c r="G11" s="178"/>
      <c r="H11" s="52">
        <v>9923</v>
      </c>
      <c r="I11" s="53">
        <v>2696.4673913043475</v>
      </c>
      <c r="J11" s="3"/>
    </row>
    <row r="12" spans="4:10" ht="20.25" customHeight="1" x14ac:dyDescent="0.25">
      <c r="D12" s="51" t="s">
        <v>153</v>
      </c>
      <c r="E12" s="260" t="s">
        <v>193</v>
      </c>
      <c r="F12" s="246"/>
      <c r="G12" s="247"/>
      <c r="H12" s="52">
        <v>64327</v>
      </c>
      <c r="I12" s="53">
        <v>17480.16304347826</v>
      </c>
      <c r="J12" s="3"/>
    </row>
    <row r="13" spans="4:10" x14ac:dyDescent="0.25">
      <c r="D13" s="51" t="s">
        <v>122</v>
      </c>
      <c r="E13" s="245" t="s">
        <v>129</v>
      </c>
      <c r="F13" s="246"/>
      <c r="G13" s="247"/>
      <c r="H13" s="270">
        <v>162345.53</v>
      </c>
      <c r="I13" s="53">
        <v>20000</v>
      </c>
    </row>
    <row r="14" spans="4:10" x14ac:dyDescent="0.25">
      <c r="D14" s="51" t="s">
        <v>124</v>
      </c>
      <c r="E14" s="244" t="s">
        <v>129</v>
      </c>
      <c r="F14" s="244"/>
      <c r="G14" s="244"/>
      <c r="H14" s="56">
        <v>143390.54</v>
      </c>
      <c r="I14" s="53">
        <v>38964.820652173912</v>
      </c>
    </row>
    <row r="15" spans="4:10" x14ac:dyDescent="0.25">
      <c r="D15" s="51" t="s">
        <v>135</v>
      </c>
      <c r="E15" s="244" t="s">
        <v>131</v>
      </c>
      <c r="F15" s="244"/>
      <c r="G15" s="244"/>
      <c r="H15" s="52">
        <v>17165</v>
      </c>
      <c r="I15" s="53">
        <v>4664.402173913043</v>
      </c>
    </row>
    <row r="16" spans="4:10" x14ac:dyDescent="0.25">
      <c r="D16" s="51" t="s">
        <v>134</v>
      </c>
      <c r="E16" s="244" t="s">
        <v>192</v>
      </c>
      <c r="F16" s="244"/>
      <c r="G16" s="244"/>
      <c r="H16" s="52">
        <v>22839.88</v>
      </c>
      <c r="I16" s="53">
        <v>6000</v>
      </c>
    </row>
    <row r="17" spans="4:9" x14ac:dyDescent="0.25">
      <c r="D17" s="51" t="s">
        <v>141</v>
      </c>
      <c r="E17" s="244" t="s">
        <v>191</v>
      </c>
      <c r="F17" s="244"/>
      <c r="G17" s="244"/>
      <c r="H17" s="52">
        <v>23268</v>
      </c>
      <c r="I17" s="53">
        <v>6322.8260869565211</v>
      </c>
    </row>
    <row r="18" spans="4:9" x14ac:dyDescent="0.25">
      <c r="D18" s="51"/>
      <c r="E18" s="244"/>
      <c r="F18" s="244"/>
      <c r="G18" s="244"/>
      <c r="H18" s="52"/>
      <c r="I18" s="53"/>
    </row>
    <row r="19" spans="4:9" ht="12" customHeight="1" x14ac:dyDescent="0.25">
      <c r="E19" s="139"/>
      <c r="F19" s="140"/>
      <c r="G19" s="140"/>
      <c r="H19" s="3"/>
      <c r="I19" s="157"/>
    </row>
    <row r="20" spans="4:9" ht="21" customHeight="1" thickBot="1" x14ac:dyDescent="0.3">
      <c r="D20" s="111"/>
      <c r="E20" s="112" t="s">
        <v>126</v>
      </c>
      <c r="F20" s="113"/>
      <c r="G20" s="113"/>
      <c r="H20" s="110">
        <f>+SUM(H5:H18)</f>
        <v>934271.87</v>
      </c>
      <c r="I20" s="134">
        <f>+SUM(I5:I17)</f>
        <v>244874.65108695655</v>
      </c>
    </row>
    <row r="21" spans="4:9" ht="9.75" customHeight="1" x14ac:dyDescent="0.25">
      <c r="E21" s="6"/>
      <c r="F21" s="6"/>
      <c r="G21" s="6"/>
      <c r="H21" s="5"/>
      <c r="I21" s="5"/>
    </row>
    <row r="22" spans="4:9" ht="18.75" x14ac:dyDescent="0.3">
      <c r="D22" s="254" t="s">
        <v>121</v>
      </c>
      <c r="E22" s="255"/>
      <c r="F22" s="255"/>
      <c r="G22" s="255"/>
      <c r="H22" s="255"/>
      <c r="I22" s="256"/>
    </row>
    <row r="23" spans="4:9" ht="31.5" customHeight="1" x14ac:dyDescent="0.25">
      <c r="D23" s="127" t="s">
        <v>123</v>
      </c>
      <c r="E23" s="248" t="s">
        <v>182</v>
      </c>
      <c r="F23" s="243"/>
      <c r="G23" s="217"/>
      <c r="H23" s="52">
        <v>86549.35</v>
      </c>
      <c r="I23" s="128">
        <v>25052</v>
      </c>
    </row>
    <row r="24" spans="4:9" x14ac:dyDescent="0.25">
      <c r="D24" s="129"/>
      <c r="E24" s="130" t="s">
        <v>6</v>
      </c>
      <c r="F24" s="131"/>
      <c r="G24" s="131"/>
      <c r="H24" s="132">
        <f>+SUM(H23:H23)</f>
        <v>86549.35</v>
      </c>
      <c r="I24" s="133">
        <f>+SUM(I23:I23)</f>
        <v>25052</v>
      </c>
    </row>
    <row r="25" spans="4:9" x14ac:dyDescent="0.25">
      <c r="D25" s="6"/>
      <c r="E25" s="6"/>
      <c r="F25" s="6"/>
      <c r="G25" s="6"/>
      <c r="H25" s="5"/>
      <c r="I25" s="7"/>
    </row>
    <row r="26" spans="4:9" ht="18.75" x14ac:dyDescent="0.3">
      <c r="D26" s="257" t="s">
        <v>183</v>
      </c>
      <c r="E26" s="258"/>
      <c r="F26" s="258"/>
      <c r="G26" s="258"/>
      <c r="H26" s="258"/>
      <c r="I26" s="259"/>
    </row>
    <row r="27" spans="4:9" ht="18.75" customHeight="1" x14ac:dyDescent="0.25">
      <c r="D27" s="60" t="s">
        <v>55</v>
      </c>
      <c r="E27" s="216" t="s">
        <v>181</v>
      </c>
      <c r="F27" s="243"/>
      <c r="G27" s="217"/>
      <c r="H27" s="159">
        <v>186825</v>
      </c>
      <c r="I27" s="53">
        <v>50000</v>
      </c>
    </row>
    <row r="28" spans="4:9" ht="18.75" customHeight="1" x14ac:dyDescent="0.25">
      <c r="D28" s="60" t="s">
        <v>132</v>
      </c>
      <c r="E28" s="216" t="s">
        <v>181</v>
      </c>
      <c r="F28" s="243"/>
      <c r="G28" s="217"/>
      <c r="H28" s="159">
        <f>53197.5</f>
        <v>53197.5</v>
      </c>
      <c r="I28" s="53">
        <v>13000</v>
      </c>
    </row>
    <row r="29" spans="4:9" ht="18.75" customHeight="1" thickBot="1" x14ac:dyDescent="0.3">
      <c r="D29" s="158"/>
      <c r="E29" s="216"/>
      <c r="F29" s="243"/>
      <c r="G29" s="217"/>
      <c r="H29" s="149"/>
      <c r="I29" s="53">
        <f>+H29/3.68</f>
        <v>0</v>
      </c>
    </row>
    <row r="30" spans="4:9" x14ac:dyDescent="0.25">
      <c r="D30" s="41"/>
      <c r="E30" s="150" t="s">
        <v>126</v>
      </c>
      <c r="F30" s="151"/>
      <c r="G30" s="151"/>
      <c r="H30" s="55">
        <f>SUM(H27:H29)</f>
        <v>240022.5</v>
      </c>
      <c r="I30" s="135">
        <f>+I27+I28</f>
        <v>63000</v>
      </c>
    </row>
    <row r="31" spans="4:9" ht="19.5" customHeight="1" x14ac:dyDescent="0.25"/>
    <row r="32" spans="4:9" ht="24.75" customHeight="1" x14ac:dyDescent="0.3">
      <c r="D32" s="257" t="s">
        <v>184</v>
      </c>
      <c r="E32" s="258"/>
      <c r="F32" s="258"/>
      <c r="G32" s="258"/>
      <c r="H32" s="258"/>
      <c r="I32" s="259"/>
    </row>
    <row r="33" spans="4:10" ht="24.75" customHeight="1" thickBot="1" x14ac:dyDescent="0.3">
      <c r="D33" s="51" t="s">
        <v>130</v>
      </c>
      <c r="E33" s="264" t="s">
        <v>136</v>
      </c>
      <c r="F33" s="265"/>
      <c r="G33" s="266"/>
      <c r="H33" s="52">
        <v>17671.62</v>
      </c>
      <c r="I33" s="53">
        <v>5000</v>
      </c>
    </row>
    <row r="34" spans="4:10" ht="24.75" customHeight="1" x14ac:dyDescent="0.25">
      <c r="D34" s="41"/>
      <c r="E34" s="267" t="s">
        <v>126</v>
      </c>
      <c r="F34" s="268"/>
      <c r="G34" s="269"/>
      <c r="H34" s="55">
        <f>SUM(H33:H33)</f>
        <v>17671.62</v>
      </c>
      <c r="I34" s="135">
        <f>+I33</f>
        <v>5000</v>
      </c>
    </row>
    <row r="35" spans="4:10" ht="12.75" customHeight="1" x14ac:dyDescent="0.25"/>
    <row r="36" spans="4:10" ht="26.25" customHeight="1" x14ac:dyDescent="0.3">
      <c r="D36" s="43"/>
      <c r="E36" s="44" t="s">
        <v>18</v>
      </c>
      <c r="F36" s="44"/>
      <c r="G36" s="44"/>
      <c r="H36" s="45">
        <f>+H34+H30+H24+H20</f>
        <v>1278515.3399999999</v>
      </c>
      <c r="I36" s="46">
        <f>+I34+I30+I20</f>
        <v>312874.65108695655</v>
      </c>
    </row>
    <row r="37" spans="4:10" x14ac:dyDescent="0.25">
      <c r="D37" s="6"/>
      <c r="E37" s="6"/>
      <c r="F37" s="6"/>
      <c r="G37" s="6"/>
      <c r="H37" s="5"/>
      <c r="I37" s="7"/>
    </row>
    <row r="38" spans="4:10" ht="17.25" customHeight="1" x14ac:dyDescent="0.25"/>
    <row r="39" spans="4:10" ht="21.75" thickBot="1" x14ac:dyDescent="0.4">
      <c r="D39" s="179" t="s">
        <v>9</v>
      </c>
      <c r="E39" s="179"/>
      <c r="F39" s="179"/>
      <c r="G39" s="179"/>
      <c r="H39" s="179"/>
    </row>
    <row r="40" spans="4:10" ht="35.25" customHeight="1" thickTop="1" thickBot="1" x14ac:dyDescent="0.35">
      <c r="D40" s="180" t="s">
        <v>1</v>
      </c>
      <c r="E40" s="180"/>
      <c r="F40" s="181"/>
      <c r="G40" s="160" t="s">
        <v>74</v>
      </c>
      <c r="H40" s="161" t="s">
        <v>73</v>
      </c>
    </row>
    <row r="41" spans="4:10" ht="18.75" customHeight="1" x14ac:dyDescent="0.3">
      <c r="D41" s="152" t="s">
        <v>4</v>
      </c>
      <c r="E41" s="152"/>
      <c r="F41" s="152"/>
      <c r="G41" s="152"/>
      <c r="H41" s="152"/>
    </row>
    <row r="42" spans="4:10" ht="18.75" customHeight="1" x14ac:dyDescent="0.25">
      <c r="D42" s="220" t="s">
        <v>152</v>
      </c>
      <c r="E42" s="233"/>
      <c r="F42" s="221"/>
      <c r="G42" s="66">
        <v>371282.96</v>
      </c>
      <c r="H42" s="53">
        <f>G42/3.68</f>
        <v>100892.10869565218</v>
      </c>
      <c r="J42" s="4" t="s">
        <v>125</v>
      </c>
    </row>
    <row r="43" spans="4:10" ht="18.75" customHeight="1" x14ac:dyDescent="0.25">
      <c r="D43" s="220" t="s">
        <v>144</v>
      </c>
      <c r="E43" s="233"/>
      <c r="F43" s="221"/>
      <c r="G43" s="66">
        <v>2887.5</v>
      </c>
      <c r="H43" s="53">
        <f>G43/3.68</f>
        <v>784.64673913043475</v>
      </c>
    </row>
    <row r="44" spans="4:10" x14ac:dyDescent="0.25">
      <c r="D44" s="220" t="s">
        <v>154</v>
      </c>
      <c r="E44" s="233"/>
      <c r="F44" s="221"/>
      <c r="G44" s="66">
        <v>30367.69</v>
      </c>
      <c r="H44" s="53">
        <f>G44/3.68</f>
        <v>8252.0896739130421</v>
      </c>
    </row>
    <row r="45" spans="4:10" x14ac:dyDescent="0.25">
      <c r="D45" s="220" t="s">
        <v>19</v>
      </c>
      <c r="E45" s="233"/>
      <c r="F45" s="221"/>
      <c r="G45" s="66">
        <v>2660.89</v>
      </c>
      <c r="H45" s="53">
        <f t="shared" ref="H45:H64" si="0">G45/3.68</f>
        <v>723.06793478260863</v>
      </c>
    </row>
    <row r="46" spans="4:10" x14ac:dyDescent="0.25">
      <c r="D46" s="220" t="s">
        <v>137</v>
      </c>
      <c r="E46" s="233"/>
      <c r="F46" s="221"/>
      <c r="G46" s="66">
        <v>150081.21</v>
      </c>
      <c r="H46" s="53">
        <f t="shared" si="0"/>
        <v>40782.937499999993</v>
      </c>
    </row>
    <row r="47" spans="4:10" x14ac:dyDescent="0.25">
      <c r="D47" s="220" t="s">
        <v>138</v>
      </c>
      <c r="E47" s="233"/>
      <c r="F47" s="221"/>
      <c r="G47" s="66">
        <f>57237.04-999.74</f>
        <v>56237.3</v>
      </c>
      <c r="H47" s="53">
        <f t="shared" si="0"/>
        <v>15281.875</v>
      </c>
    </row>
    <row r="48" spans="4:10" x14ac:dyDescent="0.25">
      <c r="D48" s="220" t="s">
        <v>20</v>
      </c>
      <c r="E48" s="233"/>
      <c r="F48" s="221"/>
      <c r="G48" s="66">
        <v>4700</v>
      </c>
      <c r="H48" s="53">
        <f t="shared" si="0"/>
        <v>1277.1739130434783</v>
      </c>
    </row>
    <row r="49" spans="4:10" x14ac:dyDescent="0.25">
      <c r="D49" s="237" t="s">
        <v>175</v>
      </c>
      <c r="E49" s="238"/>
      <c r="F49" s="239"/>
      <c r="G49" s="66">
        <v>2000</v>
      </c>
      <c r="H49" s="53">
        <f t="shared" si="0"/>
        <v>543.47826086956525</v>
      </c>
    </row>
    <row r="50" spans="4:10" x14ac:dyDescent="0.25">
      <c r="D50" s="220" t="s">
        <v>59</v>
      </c>
      <c r="E50" s="233"/>
      <c r="F50" s="221"/>
      <c r="G50" s="66">
        <v>11012</v>
      </c>
      <c r="H50" s="53">
        <f t="shared" si="0"/>
        <v>2992.391304347826</v>
      </c>
      <c r="J50" s="9"/>
    </row>
    <row r="51" spans="4:10" ht="18" customHeight="1" x14ac:dyDescent="0.25">
      <c r="D51" s="220" t="s">
        <v>145</v>
      </c>
      <c r="E51" s="233"/>
      <c r="F51" s="221"/>
      <c r="G51" s="66">
        <v>1820</v>
      </c>
      <c r="H51" s="53">
        <f t="shared" si="0"/>
        <v>494.56521739130432</v>
      </c>
    </row>
    <row r="52" spans="4:10" ht="18" customHeight="1" x14ac:dyDescent="0.25">
      <c r="D52" s="220" t="s">
        <v>24</v>
      </c>
      <c r="E52" s="233"/>
      <c r="F52" s="221"/>
      <c r="G52" s="66">
        <v>16032.94</v>
      </c>
      <c r="H52" s="53">
        <f t="shared" si="0"/>
        <v>4356.777173913043</v>
      </c>
    </row>
    <row r="53" spans="4:10" ht="15.75" customHeight="1" x14ac:dyDescent="0.25">
      <c r="D53" s="234" t="s">
        <v>28</v>
      </c>
      <c r="E53" s="235"/>
      <c r="F53" s="236"/>
      <c r="G53" s="66">
        <v>14621.810000000001</v>
      </c>
      <c r="H53" s="53">
        <f t="shared" si="0"/>
        <v>3973.317934782609</v>
      </c>
    </row>
    <row r="54" spans="4:10" x14ac:dyDescent="0.25">
      <c r="D54" s="220" t="s">
        <v>139</v>
      </c>
      <c r="E54" s="233"/>
      <c r="F54" s="221"/>
      <c r="G54" s="66">
        <v>116931.77999999998</v>
      </c>
      <c r="H54" s="53">
        <f t="shared" si="0"/>
        <v>31774.9402173913</v>
      </c>
    </row>
    <row r="55" spans="4:10" x14ac:dyDescent="0.25">
      <c r="D55" s="220" t="s">
        <v>25</v>
      </c>
      <c r="E55" s="233"/>
      <c r="F55" s="221"/>
      <c r="G55" s="66">
        <v>605.51</v>
      </c>
      <c r="H55" s="53">
        <f>G55/3.68</f>
        <v>164.54076086956522</v>
      </c>
    </row>
    <row r="56" spans="4:10" x14ac:dyDescent="0.25">
      <c r="D56" s="220" t="s">
        <v>26</v>
      </c>
      <c r="E56" s="233"/>
      <c r="F56" s="221"/>
      <c r="G56" s="66">
        <v>4786.97</v>
      </c>
      <c r="H56" s="53">
        <f>G56/3.68</f>
        <v>1300.8070652173913</v>
      </c>
    </row>
    <row r="57" spans="4:10" x14ac:dyDescent="0.25">
      <c r="D57" s="237" t="s">
        <v>194</v>
      </c>
      <c r="E57" s="238"/>
      <c r="F57" s="239"/>
      <c r="G57" s="66">
        <v>62300</v>
      </c>
      <c r="H57" s="53">
        <f>G57/3.68</f>
        <v>16929.347826086956</v>
      </c>
    </row>
    <row r="58" spans="4:10" x14ac:dyDescent="0.25">
      <c r="D58" s="237" t="s">
        <v>149</v>
      </c>
      <c r="E58" s="238"/>
      <c r="F58" s="239"/>
      <c r="G58" s="66">
        <v>30351.67</v>
      </c>
      <c r="H58" s="53">
        <f>G58/3.68</f>
        <v>8247.736413043478</v>
      </c>
    </row>
    <row r="59" spans="4:10" x14ac:dyDescent="0.25">
      <c r="D59" s="237" t="s">
        <v>199</v>
      </c>
      <c r="E59" s="238"/>
      <c r="F59" s="239"/>
      <c r="G59" s="66">
        <v>5320</v>
      </c>
      <c r="H59" s="53">
        <f t="shared" si="0"/>
        <v>1445.6521739130435</v>
      </c>
      <c r="I59" s="4" t="s">
        <v>125</v>
      </c>
    </row>
    <row r="60" spans="4:10" x14ac:dyDescent="0.25">
      <c r="D60" s="220" t="s">
        <v>27</v>
      </c>
      <c r="E60" s="233"/>
      <c r="F60" s="221"/>
      <c r="G60" s="66">
        <v>17542.14</v>
      </c>
      <c r="H60" s="53">
        <f t="shared" si="0"/>
        <v>4766.885869565217</v>
      </c>
      <c r="J60" s="9"/>
    </row>
    <row r="61" spans="4:10" x14ac:dyDescent="0.25">
      <c r="D61" s="220" t="s">
        <v>60</v>
      </c>
      <c r="E61" s="233"/>
      <c r="F61" s="221"/>
      <c r="G61" s="66">
        <v>1497.92</v>
      </c>
      <c r="H61" s="53">
        <f t="shared" si="0"/>
        <v>407.04347826086956</v>
      </c>
    </row>
    <row r="62" spans="4:10" x14ac:dyDescent="0.25">
      <c r="D62" s="220" t="s">
        <v>22</v>
      </c>
      <c r="E62" s="233"/>
      <c r="F62" s="221"/>
      <c r="G62" s="66">
        <v>4900.2</v>
      </c>
      <c r="H62" s="53">
        <f t="shared" si="0"/>
        <v>1331.5760869565215</v>
      </c>
    </row>
    <row r="63" spans="4:10" ht="15" customHeight="1" x14ac:dyDescent="0.25">
      <c r="D63" s="220" t="s">
        <v>61</v>
      </c>
      <c r="E63" s="233"/>
      <c r="F63" s="221"/>
      <c r="G63" s="66">
        <v>1188.8399999999999</v>
      </c>
      <c r="H63" s="53">
        <f t="shared" si="0"/>
        <v>323.05434782608694</v>
      </c>
    </row>
    <row r="64" spans="4:10" x14ac:dyDescent="0.25">
      <c r="D64" s="220" t="s">
        <v>76</v>
      </c>
      <c r="E64" s="233"/>
      <c r="F64" s="221"/>
      <c r="G64" s="66">
        <v>13907.7</v>
      </c>
      <c r="H64" s="53">
        <f t="shared" si="0"/>
        <v>3779.266304347826</v>
      </c>
    </row>
    <row r="65" spans="4:13" ht="15.75" customHeight="1" x14ac:dyDescent="0.25">
      <c r="D65" s="249" t="s">
        <v>6</v>
      </c>
      <c r="E65" s="249"/>
      <c r="F65" s="249"/>
      <c r="G65" s="64">
        <f>+SUM(G42:G64)</f>
        <v>923037.03</v>
      </c>
      <c r="H65" s="65">
        <f>G65/3.68</f>
        <v>250825.27989130435</v>
      </c>
      <c r="J65" s="74"/>
    </row>
    <row r="66" spans="4:13" ht="15.75" customHeight="1" x14ac:dyDescent="0.25">
      <c r="D66" s="242" t="s">
        <v>8</v>
      </c>
      <c r="E66" s="242"/>
      <c r="F66" s="242"/>
      <c r="G66" s="242"/>
      <c r="H66" s="242"/>
      <c r="J66" s="74"/>
    </row>
    <row r="67" spans="4:13" ht="15.75" customHeight="1" x14ac:dyDescent="0.25">
      <c r="D67" s="237" t="s">
        <v>147</v>
      </c>
      <c r="E67" s="238"/>
      <c r="F67" s="239"/>
      <c r="G67" s="66">
        <v>4928.88</v>
      </c>
      <c r="H67" s="53">
        <f t="shared" ref="H67" si="1">G67/3.68</f>
        <v>1339.3695652173913</v>
      </c>
      <c r="J67" s="74"/>
    </row>
    <row r="68" spans="4:13" ht="15" customHeight="1" x14ac:dyDescent="0.25">
      <c r="D68" s="237" t="s">
        <v>146</v>
      </c>
      <c r="E68" s="238"/>
      <c r="F68" s="239"/>
      <c r="G68" s="66">
        <v>24900</v>
      </c>
      <c r="H68" s="53">
        <f t="shared" ref="H68:H70" si="2">G68/3.68</f>
        <v>6766.304347826087</v>
      </c>
      <c r="J68" s="3"/>
    </row>
    <row r="69" spans="4:13" ht="15" customHeight="1" x14ac:dyDescent="0.25">
      <c r="D69" s="237" t="s">
        <v>148</v>
      </c>
      <c r="E69" s="238"/>
      <c r="F69" s="239"/>
      <c r="G69" s="66">
        <v>14583.6</v>
      </c>
      <c r="H69" s="53">
        <f t="shared" si="2"/>
        <v>3962.9347826086955</v>
      </c>
      <c r="J69" s="3"/>
      <c r="K69" s="9"/>
    </row>
    <row r="70" spans="4:13" ht="15.75" customHeight="1" x14ac:dyDescent="0.25">
      <c r="D70" s="216" t="s">
        <v>62</v>
      </c>
      <c r="E70" s="243"/>
      <c r="F70" s="217"/>
      <c r="G70" s="66">
        <v>80344.31</v>
      </c>
      <c r="H70" s="53">
        <f t="shared" si="2"/>
        <v>21832.692934782608</v>
      </c>
      <c r="K70" s="9"/>
    </row>
    <row r="71" spans="4:13" ht="22.5" customHeight="1" x14ac:dyDescent="0.25">
      <c r="D71" s="240" t="s">
        <v>6</v>
      </c>
      <c r="E71" s="240"/>
      <c r="F71" s="240"/>
      <c r="G71" s="70">
        <f>SUM(G67:G70)</f>
        <v>124756.79000000001</v>
      </c>
      <c r="H71" s="71">
        <f>G71/3.68</f>
        <v>33901.301630434784</v>
      </c>
      <c r="J71" s="9"/>
      <c r="K71" s="9"/>
    </row>
    <row r="72" spans="4:13" ht="18.75" x14ac:dyDescent="0.3">
      <c r="D72" s="241" t="s">
        <v>75</v>
      </c>
      <c r="E72" s="241"/>
      <c r="F72" s="241"/>
      <c r="G72" s="48">
        <f>G65+G71</f>
        <v>1047793.8200000001</v>
      </c>
      <c r="H72" s="50">
        <f>G72/3.87</f>
        <v>270747.75710594316</v>
      </c>
      <c r="J72" s="9"/>
    </row>
    <row r="73" spans="4:13" ht="15.75" customHeight="1" x14ac:dyDescent="0.3">
      <c r="E73" s="155"/>
      <c r="F73" s="155"/>
      <c r="G73" s="154"/>
      <c r="H73" s="156"/>
      <c r="J73" s="9"/>
    </row>
    <row r="74" spans="4:13" ht="18.75" x14ac:dyDescent="0.3">
      <c r="D74" s="241" t="s">
        <v>180</v>
      </c>
      <c r="E74" s="241"/>
      <c r="F74" s="241"/>
      <c r="G74" s="45">
        <f>+H36-G72</f>
        <v>230721.51999999979</v>
      </c>
      <c r="H74" s="46">
        <f>G74/3.68</f>
        <v>62696.065217391246</v>
      </c>
      <c r="J74" s="74"/>
    </row>
    <row r="75" spans="4:13" x14ac:dyDescent="0.25">
      <c r="K75" s="184"/>
      <c r="M75" s="9"/>
    </row>
    <row r="76" spans="4:13" x14ac:dyDescent="0.25">
      <c r="M76" s="9"/>
    </row>
    <row r="77" spans="4:13" x14ac:dyDescent="0.25">
      <c r="H77" s="3"/>
    </row>
    <row r="79" spans="4:13" x14ac:dyDescent="0.25">
      <c r="H79" s="9"/>
    </row>
    <row r="80" spans="4:13" x14ac:dyDescent="0.25">
      <c r="E80" s="6"/>
    </row>
  </sheetData>
  <mergeCells count="56">
    <mergeCell ref="E28:G28"/>
    <mergeCell ref="E29:G29"/>
    <mergeCell ref="D48:F48"/>
    <mergeCell ref="D50:F50"/>
    <mergeCell ref="D51:F51"/>
    <mergeCell ref="D44:F44"/>
    <mergeCell ref="D45:F45"/>
    <mergeCell ref="D46:F46"/>
    <mergeCell ref="D47:F47"/>
    <mergeCell ref="D32:I32"/>
    <mergeCell ref="D42:F42"/>
    <mergeCell ref="D43:F43"/>
    <mergeCell ref="D49:F49"/>
    <mergeCell ref="E33:G33"/>
    <mergeCell ref="E34:G34"/>
    <mergeCell ref="D1:I1"/>
    <mergeCell ref="D22:I22"/>
    <mergeCell ref="D26:I26"/>
    <mergeCell ref="E17:G17"/>
    <mergeCell ref="E12:G12"/>
    <mergeCell ref="E2:G2"/>
    <mergeCell ref="D74:F74"/>
    <mergeCell ref="E5:G5"/>
    <mergeCell ref="E6:G6"/>
    <mergeCell ref="E7:G7"/>
    <mergeCell ref="E8:G8"/>
    <mergeCell ref="E9:G9"/>
    <mergeCell ref="E10:G10"/>
    <mergeCell ref="E13:G13"/>
    <mergeCell ref="E14:G14"/>
    <mergeCell ref="E15:G15"/>
    <mergeCell ref="E16:G16"/>
    <mergeCell ref="E18:G18"/>
    <mergeCell ref="E23:G23"/>
    <mergeCell ref="E27:G27"/>
    <mergeCell ref="D64:F64"/>
    <mergeCell ref="D65:F65"/>
    <mergeCell ref="D71:F71"/>
    <mergeCell ref="D72:F72"/>
    <mergeCell ref="D66:H66"/>
    <mergeCell ref="D68:F68"/>
    <mergeCell ref="D70:F70"/>
    <mergeCell ref="D67:F67"/>
    <mergeCell ref="D69:F69"/>
    <mergeCell ref="D52:F52"/>
    <mergeCell ref="D53:F53"/>
    <mergeCell ref="D63:F63"/>
    <mergeCell ref="D54:F54"/>
    <mergeCell ref="D59:F59"/>
    <mergeCell ref="D60:F60"/>
    <mergeCell ref="D56:F56"/>
    <mergeCell ref="D55:F55"/>
    <mergeCell ref="D61:F61"/>
    <mergeCell ref="D62:F62"/>
    <mergeCell ref="D57:F57"/>
    <mergeCell ref="D58:F58"/>
  </mergeCells>
  <pageMargins left="0.7" right="0.7" top="0.75" bottom="0.75" header="0.3" footer="0.3"/>
  <pageSetup paperSize="9" scale="6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5AD80E-26ED-49D9-B00B-1DE0924178F1}">
  <dimension ref="B2:D24"/>
  <sheetViews>
    <sheetView workbookViewId="0">
      <selection activeCell="A20" sqref="A20:XFD20"/>
    </sheetView>
  </sheetViews>
  <sheetFormatPr baseColWidth="10" defaultRowHeight="15" x14ac:dyDescent="0.25"/>
  <cols>
    <col min="1" max="1" width="3.7109375" customWidth="1"/>
    <col min="2" max="2" width="40.42578125" customWidth="1"/>
    <col min="3" max="3" width="19" customWidth="1"/>
    <col min="4" max="4" width="19.28515625" customWidth="1"/>
  </cols>
  <sheetData>
    <row r="2" spans="2:4" ht="15.75" thickBot="1" x14ac:dyDescent="0.3">
      <c r="B2" s="109" t="s">
        <v>133</v>
      </c>
    </row>
    <row r="3" spans="2:4" ht="15.75" thickBot="1" x14ac:dyDescent="0.3">
      <c r="B3" s="102" t="s">
        <v>86</v>
      </c>
      <c r="C3" s="103" t="s">
        <v>87</v>
      </c>
      <c r="D3" s="104" t="s">
        <v>88</v>
      </c>
    </row>
    <row r="4" spans="2:4" ht="15.75" x14ac:dyDescent="0.25">
      <c r="B4" s="96" t="s">
        <v>89</v>
      </c>
      <c r="C4" s="162">
        <v>66368.762833333298</v>
      </c>
      <c r="D4" s="176">
        <f>+C4/3.7</f>
        <v>17937.503468468458</v>
      </c>
    </row>
    <row r="5" spans="2:4" ht="15.75" x14ac:dyDescent="0.25">
      <c r="B5" s="95" t="s">
        <v>90</v>
      </c>
      <c r="C5" s="162">
        <v>263136.44</v>
      </c>
      <c r="D5" s="176">
        <f t="shared" ref="D5:D9" si="0">+C5/3.7</f>
        <v>71117.956756756757</v>
      </c>
    </row>
    <row r="6" spans="2:4" ht="15.75" x14ac:dyDescent="0.25">
      <c r="B6" s="95" t="s">
        <v>91</v>
      </c>
      <c r="C6" s="162">
        <v>55847.872499999998</v>
      </c>
      <c r="D6" s="176">
        <f t="shared" si="0"/>
        <v>15094.019594594592</v>
      </c>
    </row>
    <row r="7" spans="2:4" ht="15.75" x14ac:dyDescent="0.25">
      <c r="B7" s="95" t="s">
        <v>92</v>
      </c>
      <c r="C7" s="162">
        <v>71698.931333333327</v>
      </c>
      <c r="D7" s="176">
        <f t="shared" si="0"/>
        <v>19378.089549549546</v>
      </c>
    </row>
    <row r="8" spans="2:4" ht="15.75" x14ac:dyDescent="0.25">
      <c r="B8" s="95" t="s">
        <v>53</v>
      </c>
      <c r="C8" s="162">
        <v>91622.416666666672</v>
      </c>
      <c r="D8" s="176">
        <f t="shared" si="0"/>
        <v>24762.815315315314</v>
      </c>
    </row>
    <row r="9" spans="2:4" ht="16.5" thickBot="1" x14ac:dyDescent="0.3">
      <c r="B9" s="163" t="s">
        <v>93</v>
      </c>
      <c r="C9" s="164">
        <v>58160.266666666663</v>
      </c>
      <c r="D9" s="176">
        <f t="shared" si="0"/>
        <v>15718.990990990989</v>
      </c>
    </row>
    <row r="10" spans="2:4" ht="16.5" thickBot="1" x14ac:dyDescent="0.3">
      <c r="B10" s="165" t="s">
        <v>94</v>
      </c>
      <c r="C10" s="166">
        <f>+SUM(C4:C9)</f>
        <v>606834.68999999994</v>
      </c>
      <c r="D10" s="167">
        <f>+SUM(D4:D9)</f>
        <v>164009.37567567566</v>
      </c>
    </row>
    <row r="11" spans="2:4" ht="15.75" thickBot="1" x14ac:dyDescent="0.3"/>
    <row r="12" spans="2:4" ht="15.75" thickBot="1" x14ac:dyDescent="0.3">
      <c r="B12" s="94" t="s">
        <v>95</v>
      </c>
      <c r="C12" s="170" t="s">
        <v>2</v>
      </c>
      <c r="D12" s="171" t="s">
        <v>3</v>
      </c>
    </row>
    <row r="13" spans="2:4" ht="15.75" x14ac:dyDescent="0.25">
      <c r="B13" s="168" t="s">
        <v>101</v>
      </c>
      <c r="C13" s="169">
        <v>204760</v>
      </c>
      <c r="D13" s="172">
        <f>+C13/3.7</f>
        <v>55340.54054054054</v>
      </c>
    </row>
    <row r="14" spans="2:4" ht="15.75" thickBot="1" x14ac:dyDescent="0.3">
      <c r="B14" s="97"/>
      <c r="C14" s="98"/>
      <c r="D14" s="99"/>
    </row>
    <row r="15" spans="2:4" ht="16.5" thickBot="1" x14ac:dyDescent="0.3">
      <c r="B15" s="105" t="s">
        <v>96</v>
      </c>
      <c r="C15" s="166">
        <f>+C13</f>
        <v>204760</v>
      </c>
      <c r="D15" s="167">
        <f>+D13</f>
        <v>55340.54054054054</v>
      </c>
    </row>
    <row r="17" spans="2:4" ht="15.75" thickBot="1" x14ac:dyDescent="0.3"/>
    <row r="18" spans="2:4" ht="15.75" thickBot="1" x14ac:dyDescent="0.3">
      <c r="B18" s="94" t="s">
        <v>97</v>
      </c>
      <c r="C18" s="170" t="s">
        <v>2</v>
      </c>
      <c r="D18" s="171" t="s">
        <v>3</v>
      </c>
    </row>
    <row r="19" spans="2:4" ht="15.75" x14ac:dyDescent="0.25">
      <c r="B19" s="95" t="s">
        <v>142</v>
      </c>
      <c r="C19" s="164">
        <v>4400</v>
      </c>
      <c r="D19" s="172">
        <f>+C19/3.7</f>
        <v>1189.1891891891892</v>
      </c>
    </row>
    <row r="20" spans="2:4" ht="15.75" x14ac:dyDescent="0.25">
      <c r="B20" s="95"/>
      <c r="C20" s="164"/>
      <c r="D20" s="172"/>
    </row>
    <row r="21" spans="2:4" ht="15.75" thickBot="1" x14ac:dyDescent="0.3">
      <c r="B21" s="97"/>
      <c r="C21" s="98"/>
      <c r="D21" s="99"/>
    </row>
    <row r="22" spans="2:4" ht="16.5" thickBot="1" x14ac:dyDescent="0.3">
      <c r="B22" s="105" t="s">
        <v>100</v>
      </c>
      <c r="C22" s="166">
        <f>+SUM(C19:C20)</f>
        <v>4400</v>
      </c>
      <c r="D22" s="167">
        <f>+SUM(D19:D20)</f>
        <v>1189.1891891891892</v>
      </c>
    </row>
    <row r="23" spans="2:4" ht="15.75" thickBot="1" x14ac:dyDescent="0.3">
      <c r="B23" s="92"/>
      <c r="C23" s="93"/>
      <c r="D23" s="93"/>
    </row>
    <row r="24" spans="2:4" ht="16.5" thickBot="1" x14ac:dyDescent="0.3">
      <c r="B24" s="173" t="s">
        <v>143</v>
      </c>
      <c r="C24" s="174">
        <f>+C22+C15+C10</f>
        <v>815994.69</v>
      </c>
      <c r="D24" s="175">
        <f>+D22+D15+D10</f>
        <v>220539.1054054054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96E1B-DCF2-497D-AD20-114CE684BA38}">
  <dimension ref="A3:C56"/>
  <sheetViews>
    <sheetView tabSelected="1" topLeftCell="A37" workbookViewId="0">
      <selection activeCell="K50" sqref="K50"/>
    </sheetView>
  </sheetViews>
  <sheetFormatPr baseColWidth="10" defaultRowHeight="15" x14ac:dyDescent="0.25"/>
  <sheetData>
    <row r="3" spans="1:1" x14ac:dyDescent="0.25">
      <c r="A3" t="s">
        <v>179</v>
      </c>
    </row>
    <row r="5" spans="1:1" x14ac:dyDescent="0.25">
      <c r="A5" s="196" t="s">
        <v>161</v>
      </c>
    </row>
    <row r="6" spans="1:1" x14ac:dyDescent="0.25">
      <c r="A6" t="s">
        <v>159</v>
      </c>
    </row>
    <row r="7" spans="1:1" x14ac:dyDescent="0.25">
      <c r="A7" t="s">
        <v>156</v>
      </c>
    </row>
    <row r="9" spans="1:1" x14ac:dyDescent="0.25">
      <c r="A9" s="196" t="s">
        <v>157</v>
      </c>
    </row>
    <row r="10" spans="1:1" x14ac:dyDescent="0.25">
      <c r="A10" t="s">
        <v>158</v>
      </c>
    </row>
    <row r="13" spans="1:1" x14ac:dyDescent="0.25">
      <c r="A13" s="196" t="s">
        <v>160</v>
      </c>
    </row>
    <row r="14" spans="1:1" x14ac:dyDescent="0.25">
      <c r="A14" t="s">
        <v>162</v>
      </c>
    </row>
    <row r="15" spans="1:1" x14ac:dyDescent="0.25">
      <c r="A15" t="s">
        <v>163</v>
      </c>
    </row>
    <row r="18" spans="1:1" x14ac:dyDescent="0.25">
      <c r="A18" t="s">
        <v>164</v>
      </c>
    </row>
    <row r="19" spans="1:1" x14ac:dyDescent="0.25">
      <c r="A19" t="s">
        <v>165</v>
      </c>
    </row>
    <row r="20" spans="1:1" x14ac:dyDescent="0.25">
      <c r="A20" t="s">
        <v>166</v>
      </c>
    </row>
    <row r="22" spans="1:1" x14ac:dyDescent="0.25">
      <c r="A22" t="s">
        <v>167</v>
      </c>
    </row>
    <row r="23" spans="1:1" x14ac:dyDescent="0.25">
      <c r="A23" t="s">
        <v>168</v>
      </c>
    </row>
    <row r="24" spans="1:1" x14ac:dyDescent="0.25">
      <c r="A24" t="s">
        <v>169</v>
      </c>
    </row>
    <row r="27" spans="1:1" x14ac:dyDescent="0.25">
      <c r="A27" t="s">
        <v>170</v>
      </c>
    </row>
    <row r="28" spans="1:1" x14ac:dyDescent="0.25">
      <c r="A28" t="s">
        <v>171</v>
      </c>
    </row>
    <row r="29" spans="1:1" x14ac:dyDescent="0.25">
      <c r="A29" t="s">
        <v>172</v>
      </c>
    </row>
    <row r="32" spans="1:1" x14ac:dyDescent="0.25">
      <c r="A32" t="s">
        <v>173</v>
      </c>
    </row>
    <row r="33" spans="1:1" x14ac:dyDescent="0.25">
      <c r="A33" t="s">
        <v>174</v>
      </c>
    </row>
    <row r="34" spans="1:1" x14ac:dyDescent="0.25">
      <c r="A34" t="s">
        <v>185</v>
      </c>
    </row>
    <row r="37" spans="1:1" x14ac:dyDescent="0.25">
      <c r="A37" t="s">
        <v>175</v>
      </c>
    </row>
    <row r="38" spans="1:1" x14ac:dyDescent="0.25">
      <c r="A38" t="s">
        <v>176</v>
      </c>
    </row>
    <row r="39" spans="1:1" x14ac:dyDescent="0.25">
      <c r="A39" t="s">
        <v>177</v>
      </c>
    </row>
    <row r="41" spans="1:1" x14ac:dyDescent="0.25">
      <c r="A41" t="s">
        <v>186</v>
      </c>
    </row>
    <row r="42" spans="1:1" x14ac:dyDescent="0.25">
      <c r="A42" t="s">
        <v>187</v>
      </c>
    </row>
    <row r="44" spans="1:1" x14ac:dyDescent="0.25">
      <c r="A44" t="s">
        <v>188</v>
      </c>
    </row>
    <row r="45" spans="1:1" x14ac:dyDescent="0.25">
      <c r="A45" t="s">
        <v>189</v>
      </c>
    </row>
    <row r="47" spans="1:1" x14ac:dyDescent="0.25">
      <c r="A47" t="s">
        <v>190</v>
      </c>
    </row>
    <row r="49" spans="1:3" ht="15.75" x14ac:dyDescent="0.25">
      <c r="A49" s="199" t="s">
        <v>194</v>
      </c>
      <c r="B49" s="200"/>
      <c r="C49" s="201"/>
    </row>
    <row r="51" spans="1:3" x14ac:dyDescent="0.25">
      <c r="A51" t="s">
        <v>195</v>
      </c>
    </row>
    <row r="52" spans="1:3" x14ac:dyDescent="0.25">
      <c r="A52" t="s">
        <v>196</v>
      </c>
    </row>
    <row r="54" spans="1:3" ht="15.75" x14ac:dyDescent="0.25">
      <c r="A54" s="199" t="s">
        <v>201</v>
      </c>
      <c r="B54" s="200"/>
      <c r="C54" s="201"/>
    </row>
    <row r="55" spans="1:3" x14ac:dyDescent="0.25">
      <c r="A55" t="s">
        <v>197</v>
      </c>
    </row>
    <row r="56" spans="1:3" x14ac:dyDescent="0.25">
      <c r="A56" t="s">
        <v>198</v>
      </c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9F53E0-8557-43A0-8C61-45CD8998BF01}">
  <dimension ref="A2:B13"/>
  <sheetViews>
    <sheetView workbookViewId="0">
      <selection activeCell="E24" sqref="E24"/>
    </sheetView>
  </sheetViews>
  <sheetFormatPr baseColWidth="10" defaultRowHeight="15" x14ac:dyDescent="0.25"/>
  <cols>
    <col min="1" max="1" width="14.140625" bestFit="1" customWidth="1"/>
  </cols>
  <sheetData>
    <row r="2" spans="1:2" x14ac:dyDescent="0.25">
      <c r="A2" t="s">
        <v>103</v>
      </c>
      <c r="B2">
        <v>3.87</v>
      </c>
    </row>
    <row r="3" spans="1:2" x14ac:dyDescent="0.25">
      <c r="B3" t="s">
        <v>116</v>
      </c>
    </row>
    <row r="4" spans="1:2" x14ac:dyDescent="0.25">
      <c r="A4" t="s">
        <v>105</v>
      </c>
      <c r="B4" t="s">
        <v>106</v>
      </c>
    </row>
    <row r="5" spans="1:2" x14ac:dyDescent="0.25">
      <c r="A5" t="s">
        <v>107</v>
      </c>
      <c r="B5" t="s">
        <v>113</v>
      </c>
    </row>
    <row r="6" spans="1:2" x14ac:dyDescent="0.25">
      <c r="A6" t="s">
        <v>108</v>
      </c>
      <c r="B6" t="s">
        <v>109</v>
      </c>
    </row>
    <row r="7" spans="1:2" x14ac:dyDescent="0.25">
      <c r="A7" t="s">
        <v>110</v>
      </c>
      <c r="B7" t="s">
        <v>112</v>
      </c>
    </row>
    <row r="8" spans="1:2" x14ac:dyDescent="0.25">
      <c r="A8" t="s">
        <v>111</v>
      </c>
      <c r="B8" t="s">
        <v>115</v>
      </c>
    </row>
    <row r="9" spans="1:2" x14ac:dyDescent="0.25">
      <c r="B9" t="s">
        <v>114</v>
      </c>
    </row>
    <row r="11" spans="1:2" x14ac:dyDescent="0.25">
      <c r="A11" t="s">
        <v>117</v>
      </c>
    </row>
    <row r="12" spans="1:2" x14ac:dyDescent="0.25">
      <c r="B12" t="s">
        <v>119</v>
      </c>
    </row>
    <row r="13" spans="1:2" x14ac:dyDescent="0.25">
      <c r="B13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PPTO 2025</vt:lpstr>
      <vt:lpstr>Estado s. Finan</vt:lpstr>
      <vt:lpstr>E.R.2024</vt:lpstr>
      <vt:lpstr>NUEVO E.R. 2025</vt:lpstr>
      <vt:lpstr>ppto2026</vt:lpstr>
      <vt:lpstr>notas</vt:lpstr>
      <vt:lpstr>comentarios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cp:lastPrinted>2026-09-09T14:43:59Z</cp:lastPrinted>
  <dcterms:created xsi:type="dcterms:W3CDTF">2022-07-18T13:47:22Z</dcterms:created>
  <dcterms:modified xsi:type="dcterms:W3CDTF">2026-09-09T15:41:42Z</dcterms:modified>
</cp:coreProperties>
</file>